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Z:\3 WHOLESALERS\Fuentes\2017\12 Diciembre\Cierre\FESA GOB\"/>
    </mc:Choice>
  </mc:AlternateContent>
  <bookViews>
    <workbookView xWindow="0" yWindow="0" windowWidth="25200" windowHeight="11580"/>
  </bookViews>
  <sheets>
    <sheet name="Tabla" sheetId="2" r:id="rId1"/>
    <sheet name="Base" sheetId="1" r:id="rId2"/>
  </sheets>
  <definedNames>
    <definedName name="_xlnm._FilterDatabase" localSheetId="1" hidden="1">Base!$A$2:$AO$6</definedName>
  </definedNames>
  <calcPr calcId="152511"/>
  <pivotCaches>
    <pivotCache cacheId="2" r:id="rId3"/>
  </pivotCaches>
  <fileRecoveryPr repairLoad="1"/>
</workbook>
</file>

<file path=xl/calcChain.xml><?xml version="1.0" encoding="utf-8"?>
<calcChain xmlns="http://schemas.openxmlformats.org/spreadsheetml/2006/main">
  <c r="AL224" i="1" l="1"/>
  <c r="AB224" i="1"/>
  <c r="X224" i="1"/>
  <c r="T224" i="1"/>
  <c r="W224" i="1" s="1"/>
  <c r="AL223" i="1"/>
  <c r="AJ223" i="1"/>
  <c r="AH223" i="1"/>
  <c r="AK223" i="1" s="1"/>
  <c r="X223" i="1"/>
  <c r="W223" i="1"/>
  <c r="V223" i="1"/>
  <c r="T223" i="1"/>
  <c r="AB223" i="1" s="1"/>
  <c r="AL222" i="1"/>
  <c r="AB222" i="1"/>
  <c r="X222" i="1"/>
  <c r="T222" i="1"/>
  <c r="AL221" i="1"/>
  <c r="AB221" i="1"/>
  <c r="X221" i="1"/>
  <c r="T221" i="1"/>
  <c r="W221" i="1" s="1"/>
  <c r="AL220" i="1"/>
  <c r="AJ220" i="1"/>
  <c r="X220" i="1"/>
  <c r="W220" i="1"/>
  <c r="T220" i="1"/>
  <c r="AH220" i="1" s="1"/>
  <c r="AK220" i="1" s="1"/>
  <c r="AL219" i="1"/>
  <c r="AK219" i="1"/>
  <c r="AH219" i="1"/>
  <c r="AJ219" i="1" s="1"/>
  <c r="X219" i="1"/>
  <c r="W219" i="1"/>
  <c r="V219" i="1"/>
  <c r="T219" i="1"/>
  <c r="AB219" i="1" s="1"/>
  <c r="AL218" i="1"/>
  <c r="X218" i="1"/>
  <c r="W218" i="1"/>
  <c r="T218" i="1"/>
  <c r="AB218" i="1" s="1"/>
  <c r="AL217" i="1"/>
  <c r="AH217" i="1"/>
  <c r="AJ217" i="1" s="1"/>
  <c r="X217" i="1"/>
  <c r="V217" i="1"/>
  <c r="T217" i="1"/>
  <c r="AL216" i="1"/>
  <c r="X216" i="1"/>
  <c r="T216" i="1"/>
  <c r="AL215" i="1"/>
  <c r="AH215" i="1"/>
  <c r="AK215" i="1" s="1"/>
  <c r="X215" i="1"/>
  <c r="W215" i="1"/>
  <c r="V215" i="1"/>
  <c r="T215" i="1"/>
  <c r="AB215" i="1" s="1"/>
  <c r="AL214" i="1"/>
  <c r="X214" i="1"/>
  <c r="T214" i="1"/>
  <c r="AL213" i="1"/>
  <c r="AB213" i="1"/>
  <c r="X213" i="1"/>
  <c r="T213" i="1"/>
  <c r="W213" i="1" s="1"/>
  <c r="AL212" i="1"/>
  <c r="X212" i="1"/>
  <c r="W212" i="1"/>
  <c r="T212" i="1"/>
  <c r="AH212" i="1" s="1"/>
  <c r="AL211" i="1"/>
  <c r="AK211" i="1"/>
  <c r="AH211" i="1"/>
  <c r="AJ211" i="1" s="1"/>
  <c r="X211" i="1"/>
  <c r="W211" i="1"/>
  <c r="V211" i="1"/>
  <c r="T211" i="1"/>
  <c r="AB211" i="1" s="1"/>
  <c r="AL210" i="1"/>
  <c r="AB210" i="1"/>
  <c r="X210" i="1"/>
  <c r="W210" i="1"/>
  <c r="T210" i="1"/>
  <c r="AL209" i="1"/>
  <c r="X209" i="1"/>
  <c r="T209" i="1"/>
  <c r="AL208" i="1"/>
  <c r="AB208" i="1"/>
  <c r="X208" i="1"/>
  <c r="V208" i="1"/>
  <c r="T208" i="1"/>
  <c r="W208" i="1" s="1"/>
  <c r="AL207" i="1"/>
  <c r="AH207" i="1"/>
  <c r="X207" i="1"/>
  <c r="W207" i="1"/>
  <c r="V207" i="1"/>
  <c r="T207" i="1"/>
  <c r="AB207" i="1" s="1"/>
  <c r="AL206" i="1"/>
  <c r="AB206" i="1"/>
  <c r="X206" i="1"/>
  <c r="T206" i="1"/>
  <c r="AL205" i="1"/>
  <c r="AB205" i="1"/>
  <c r="X205" i="1"/>
  <c r="T205" i="1"/>
  <c r="W205" i="1" s="1"/>
  <c r="AL204" i="1"/>
  <c r="AJ204" i="1"/>
  <c r="X204" i="1"/>
  <c r="W204" i="1"/>
  <c r="T204" i="1"/>
  <c r="AH204" i="1" s="1"/>
  <c r="AK204" i="1" s="1"/>
  <c r="AL203" i="1"/>
  <c r="AK203" i="1"/>
  <c r="AH203" i="1"/>
  <c r="AJ203" i="1" s="1"/>
  <c r="X203" i="1"/>
  <c r="W203" i="1"/>
  <c r="V203" i="1"/>
  <c r="T203" i="1"/>
  <c r="AB203" i="1" s="1"/>
  <c r="AL202" i="1"/>
  <c r="AB202" i="1"/>
  <c r="X202" i="1"/>
  <c r="W202" i="1"/>
  <c r="T202" i="1"/>
  <c r="AL201" i="1"/>
  <c r="AH201" i="1"/>
  <c r="AJ201" i="1" s="1"/>
  <c r="X201" i="1"/>
  <c r="V201" i="1"/>
  <c r="T201" i="1"/>
  <c r="AL200" i="1"/>
  <c r="X200" i="1"/>
  <c r="T200" i="1"/>
  <c r="AL199" i="1"/>
  <c r="AH199" i="1"/>
  <c r="AK199" i="1" s="1"/>
  <c r="X199" i="1"/>
  <c r="W199" i="1"/>
  <c r="V199" i="1"/>
  <c r="T199" i="1"/>
  <c r="AB199" i="1" s="1"/>
  <c r="AL198" i="1"/>
  <c r="X198" i="1"/>
  <c r="T198" i="1"/>
  <c r="AL197" i="1"/>
  <c r="AB197" i="1"/>
  <c r="X197" i="1"/>
  <c r="T197" i="1"/>
  <c r="W197" i="1" s="1"/>
  <c r="AL196" i="1"/>
  <c r="X196" i="1"/>
  <c r="W196" i="1"/>
  <c r="T196" i="1"/>
  <c r="AH196" i="1" s="1"/>
  <c r="AL195" i="1"/>
  <c r="AK195" i="1"/>
  <c r="AH195" i="1"/>
  <c r="AJ195" i="1" s="1"/>
  <c r="X195" i="1"/>
  <c r="W195" i="1"/>
  <c r="V195" i="1"/>
  <c r="T195" i="1"/>
  <c r="AB195" i="1" s="1"/>
  <c r="AL194" i="1"/>
  <c r="AB194" i="1"/>
  <c r="X194" i="1"/>
  <c r="W194" i="1"/>
  <c r="T194" i="1"/>
  <c r="AL193" i="1"/>
  <c r="AK193" i="1"/>
  <c r="AH193" i="1"/>
  <c r="AJ193" i="1" s="1"/>
  <c r="X193" i="1"/>
  <c r="T193" i="1"/>
  <c r="AL192" i="1"/>
  <c r="AB192" i="1"/>
  <c r="X192" i="1"/>
  <c r="V192" i="1"/>
  <c r="T192" i="1"/>
  <c r="W192" i="1" s="1"/>
  <c r="AL191" i="1"/>
  <c r="AH191" i="1"/>
  <c r="AK191" i="1" s="1"/>
  <c r="X191" i="1"/>
  <c r="W191" i="1"/>
  <c r="V191" i="1"/>
  <c r="T191" i="1"/>
  <c r="AB191" i="1" s="1"/>
  <c r="AL190" i="1"/>
  <c r="AB190" i="1"/>
  <c r="X190" i="1"/>
  <c r="T190" i="1"/>
  <c r="AL189" i="1"/>
  <c r="AB189" i="1"/>
  <c r="X189" i="1"/>
  <c r="T189" i="1"/>
  <c r="W189" i="1" s="1"/>
  <c r="AL188" i="1"/>
  <c r="AJ188" i="1"/>
  <c r="X188" i="1"/>
  <c r="W188" i="1"/>
  <c r="T188" i="1"/>
  <c r="AH188" i="1" s="1"/>
  <c r="AK188" i="1" s="1"/>
  <c r="AL187" i="1"/>
  <c r="AK187" i="1"/>
  <c r="AH187" i="1"/>
  <c r="AJ187" i="1" s="1"/>
  <c r="X187" i="1"/>
  <c r="W187" i="1"/>
  <c r="V187" i="1"/>
  <c r="T187" i="1"/>
  <c r="AB187" i="1" s="1"/>
  <c r="AL186" i="1"/>
  <c r="AB186" i="1"/>
  <c r="X186" i="1"/>
  <c r="W186" i="1"/>
  <c r="T186" i="1"/>
  <c r="AL185" i="1"/>
  <c r="AH185" i="1"/>
  <c r="AJ185" i="1" s="1"/>
  <c r="X185" i="1"/>
  <c r="V185" i="1"/>
  <c r="T185" i="1"/>
  <c r="AL184" i="1"/>
  <c r="AH184" i="1"/>
  <c r="AB184" i="1"/>
  <c r="X184" i="1"/>
  <c r="T184" i="1"/>
  <c r="AL183" i="1"/>
  <c r="AH183" i="1"/>
  <c r="AK183" i="1" s="1"/>
  <c r="X183" i="1"/>
  <c r="W183" i="1"/>
  <c r="V183" i="1"/>
  <c r="T183" i="1"/>
  <c r="AB183" i="1" s="1"/>
  <c r="AL182" i="1"/>
  <c r="X182" i="1"/>
  <c r="T182" i="1"/>
  <c r="AL181" i="1"/>
  <c r="AB181" i="1"/>
  <c r="X181" i="1"/>
  <c r="T181" i="1"/>
  <c r="W181" i="1" s="1"/>
  <c r="AL180" i="1"/>
  <c r="X180" i="1"/>
  <c r="W180" i="1"/>
  <c r="T180" i="1"/>
  <c r="AH180" i="1" s="1"/>
  <c r="AL179" i="1"/>
  <c r="AK179" i="1"/>
  <c r="AH179" i="1"/>
  <c r="AJ179" i="1" s="1"/>
  <c r="X179" i="1"/>
  <c r="W179" i="1"/>
  <c r="V179" i="1"/>
  <c r="T179" i="1"/>
  <c r="AB179" i="1" s="1"/>
  <c r="AL178" i="1"/>
  <c r="AB178" i="1"/>
  <c r="X178" i="1"/>
  <c r="W178" i="1"/>
  <c r="T178" i="1"/>
  <c r="AL177" i="1"/>
  <c r="AH177" i="1"/>
  <c r="X177" i="1"/>
  <c r="T177" i="1"/>
  <c r="AL176" i="1"/>
  <c r="AB176" i="1"/>
  <c r="X176" i="1"/>
  <c r="V176" i="1"/>
  <c r="T176" i="1"/>
  <c r="W176" i="1" s="1"/>
  <c r="AL175" i="1"/>
  <c r="AJ175" i="1"/>
  <c r="AH175" i="1"/>
  <c r="AK175" i="1" s="1"/>
  <c r="X175" i="1"/>
  <c r="W175" i="1"/>
  <c r="V175" i="1"/>
  <c r="T175" i="1"/>
  <c r="AB175" i="1" s="1"/>
  <c r="AL174" i="1"/>
  <c r="AB174" i="1"/>
  <c r="X174" i="1"/>
  <c r="T174" i="1"/>
  <c r="AL173" i="1"/>
  <c r="AB173" i="1"/>
  <c r="X173" i="1"/>
  <c r="T173" i="1"/>
  <c r="W173" i="1" s="1"/>
  <c r="AL172" i="1"/>
  <c r="AJ172" i="1"/>
  <c r="X172" i="1"/>
  <c r="W172" i="1"/>
  <c r="T172" i="1"/>
  <c r="AH172" i="1" s="1"/>
  <c r="AK172" i="1" s="1"/>
  <c r="AL171" i="1"/>
  <c r="AK171" i="1"/>
  <c r="AH171" i="1"/>
  <c r="AJ171" i="1" s="1"/>
  <c r="X171" i="1"/>
  <c r="W171" i="1"/>
  <c r="V171" i="1"/>
  <c r="T171" i="1"/>
  <c r="AB171" i="1" s="1"/>
  <c r="AL170" i="1"/>
  <c r="AB170" i="1"/>
  <c r="X170" i="1"/>
  <c r="W170" i="1"/>
  <c r="T170" i="1"/>
  <c r="AL169" i="1"/>
  <c r="AH169" i="1"/>
  <c r="AJ169" i="1" s="1"/>
  <c r="X169" i="1"/>
  <c r="V169" i="1"/>
  <c r="T169" i="1"/>
  <c r="AL168" i="1"/>
  <c r="AH168" i="1"/>
  <c r="AB168" i="1"/>
  <c r="X168" i="1"/>
  <c r="T168" i="1"/>
  <c r="AL167" i="1"/>
  <c r="AH167" i="1"/>
  <c r="AK167" i="1" s="1"/>
  <c r="X167" i="1"/>
  <c r="W167" i="1"/>
  <c r="V167" i="1"/>
  <c r="T167" i="1"/>
  <c r="AB167" i="1" s="1"/>
  <c r="AL166" i="1"/>
  <c r="X166" i="1"/>
  <c r="W166" i="1"/>
  <c r="T166" i="1"/>
  <c r="AL165" i="1"/>
  <c r="AH165" i="1"/>
  <c r="AB165" i="1"/>
  <c r="X165" i="1"/>
  <c r="T165" i="1"/>
  <c r="AL164" i="1"/>
  <c r="AB164" i="1"/>
  <c r="X164" i="1"/>
  <c r="T164" i="1"/>
  <c r="AL163" i="1"/>
  <c r="AH163" i="1"/>
  <c r="X163" i="1"/>
  <c r="W163" i="1"/>
  <c r="V163" i="1"/>
  <c r="T163" i="1"/>
  <c r="AB163" i="1" s="1"/>
  <c r="AL162" i="1"/>
  <c r="AB162" i="1"/>
  <c r="X162" i="1"/>
  <c r="T162" i="1"/>
  <c r="AL161" i="1"/>
  <c r="AB161" i="1"/>
  <c r="X161" i="1"/>
  <c r="V161" i="1"/>
  <c r="T161" i="1"/>
  <c r="W161" i="1" s="1"/>
  <c r="AL160" i="1"/>
  <c r="AH160" i="1"/>
  <c r="AK160" i="1" s="1"/>
  <c r="X160" i="1"/>
  <c r="W160" i="1"/>
  <c r="V160" i="1"/>
  <c r="T160" i="1"/>
  <c r="AB160" i="1" s="1"/>
  <c r="AL159" i="1"/>
  <c r="AK159" i="1"/>
  <c r="AJ159" i="1"/>
  <c r="AH159" i="1"/>
  <c r="X159" i="1"/>
  <c r="W159" i="1"/>
  <c r="V159" i="1"/>
  <c r="T159" i="1"/>
  <c r="AB159" i="1" s="1"/>
  <c r="AL158" i="1"/>
  <c r="X158" i="1"/>
  <c r="T158" i="1"/>
  <c r="W158" i="1" s="1"/>
  <c r="AL157" i="1"/>
  <c r="X157" i="1"/>
  <c r="T157" i="1"/>
  <c r="AL156" i="1"/>
  <c r="X156" i="1"/>
  <c r="T156" i="1"/>
  <c r="AL155" i="1"/>
  <c r="AH155" i="1"/>
  <c r="X155" i="1"/>
  <c r="W155" i="1"/>
  <c r="V155" i="1"/>
  <c r="T155" i="1"/>
  <c r="AB155" i="1" s="1"/>
  <c r="AL154" i="1"/>
  <c r="AB154" i="1"/>
  <c r="X154" i="1"/>
  <c r="T154" i="1"/>
  <c r="AL153" i="1"/>
  <c r="AB153" i="1"/>
  <c r="X153" i="1"/>
  <c r="V153" i="1"/>
  <c r="T153" i="1"/>
  <c r="W153" i="1" s="1"/>
  <c r="AL152" i="1"/>
  <c r="AH152" i="1"/>
  <c r="AK152" i="1" s="1"/>
  <c r="X152" i="1"/>
  <c r="W152" i="1"/>
  <c r="V152" i="1"/>
  <c r="T152" i="1"/>
  <c r="AB152" i="1" s="1"/>
  <c r="AL151" i="1"/>
  <c r="AK151" i="1"/>
  <c r="AJ151" i="1"/>
  <c r="AH151" i="1"/>
  <c r="X151" i="1"/>
  <c r="W151" i="1"/>
  <c r="V151" i="1"/>
  <c r="T151" i="1"/>
  <c r="AB151" i="1" s="1"/>
  <c r="AL150" i="1"/>
  <c r="X150" i="1"/>
  <c r="T150" i="1"/>
  <c r="W150" i="1" s="1"/>
  <c r="AL149" i="1"/>
  <c r="AH149" i="1"/>
  <c r="AB149" i="1"/>
  <c r="X149" i="1"/>
  <c r="T149" i="1"/>
  <c r="AL148" i="1"/>
  <c r="AB148" i="1"/>
  <c r="X148" i="1"/>
  <c r="T148" i="1"/>
  <c r="AL147" i="1"/>
  <c r="AH147" i="1"/>
  <c r="X147" i="1"/>
  <c r="W147" i="1"/>
  <c r="V147" i="1"/>
  <c r="T147" i="1"/>
  <c r="AB147" i="1" s="1"/>
  <c r="AL146" i="1"/>
  <c r="AB146" i="1"/>
  <c r="X146" i="1"/>
  <c r="T146" i="1"/>
  <c r="AL145" i="1"/>
  <c r="X145" i="1"/>
  <c r="W145" i="1"/>
  <c r="T145" i="1"/>
  <c r="AH145" i="1" s="1"/>
  <c r="AL144" i="1"/>
  <c r="AB144" i="1"/>
  <c r="X144" i="1"/>
  <c r="T144" i="1"/>
  <c r="AL143" i="1"/>
  <c r="AH143" i="1"/>
  <c r="AB143" i="1"/>
  <c r="X143" i="1"/>
  <c r="T143" i="1"/>
  <c r="AL142" i="1"/>
  <c r="AH142" i="1"/>
  <c r="AK142" i="1" s="1"/>
  <c r="X142" i="1"/>
  <c r="W142" i="1"/>
  <c r="V142" i="1"/>
  <c r="T142" i="1"/>
  <c r="AB142" i="1" s="1"/>
  <c r="AL141" i="1"/>
  <c r="AK141" i="1"/>
  <c r="X141" i="1"/>
  <c r="W141" i="1"/>
  <c r="T141" i="1"/>
  <c r="AH141" i="1" s="1"/>
  <c r="AJ141" i="1" s="1"/>
  <c r="AL140" i="1"/>
  <c r="AB140" i="1"/>
  <c r="X140" i="1"/>
  <c r="T140" i="1"/>
  <c r="AL139" i="1"/>
  <c r="AH139" i="1"/>
  <c r="AB139" i="1"/>
  <c r="X139" i="1"/>
  <c r="T139" i="1"/>
  <c r="AL138" i="1"/>
  <c r="AH138" i="1"/>
  <c r="AK138" i="1" s="1"/>
  <c r="X138" i="1"/>
  <c r="W138" i="1"/>
  <c r="V138" i="1"/>
  <c r="T138" i="1"/>
  <c r="AB138" i="1" s="1"/>
  <c r="AL137" i="1"/>
  <c r="AK137" i="1"/>
  <c r="X137" i="1"/>
  <c r="W137" i="1"/>
  <c r="T137" i="1"/>
  <c r="AH137" i="1" s="1"/>
  <c r="AJ137" i="1" s="1"/>
  <c r="AL136" i="1"/>
  <c r="AB136" i="1"/>
  <c r="X136" i="1"/>
  <c r="T136" i="1"/>
  <c r="AL135" i="1"/>
  <c r="AH135" i="1"/>
  <c r="AB135" i="1"/>
  <c r="X135" i="1"/>
  <c r="T135" i="1"/>
  <c r="AL134" i="1"/>
  <c r="AH134" i="1"/>
  <c r="AK134" i="1" s="1"/>
  <c r="X134" i="1"/>
  <c r="W134" i="1"/>
  <c r="V134" i="1"/>
  <c r="T134" i="1"/>
  <c r="AB134" i="1" s="1"/>
  <c r="AL133" i="1"/>
  <c r="AK133" i="1"/>
  <c r="X133" i="1"/>
  <c r="W133" i="1"/>
  <c r="T133" i="1"/>
  <c r="AH133" i="1" s="1"/>
  <c r="AJ133" i="1" s="1"/>
  <c r="AL132" i="1"/>
  <c r="AB132" i="1"/>
  <c r="X132" i="1"/>
  <c r="T132" i="1"/>
  <c r="AL131" i="1"/>
  <c r="AH131" i="1"/>
  <c r="AB131" i="1"/>
  <c r="X131" i="1"/>
  <c r="T131" i="1"/>
  <c r="AL130" i="1"/>
  <c r="AH130" i="1"/>
  <c r="AK130" i="1" s="1"/>
  <c r="X130" i="1"/>
  <c r="W130" i="1"/>
  <c r="V130" i="1"/>
  <c r="T130" i="1"/>
  <c r="AB130" i="1" s="1"/>
  <c r="AL129" i="1"/>
  <c r="AK129" i="1"/>
  <c r="X129" i="1"/>
  <c r="W129" i="1"/>
  <c r="T129" i="1"/>
  <c r="AH129" i="1" s="1"/>
  <c r="AJ129" i="1" s="1"/>
  <c r="AL128" i="1"/>
  <c r="AB128" i="1"/>
  <c r="X128" i="1"/>
  <c r="T128" i="1"/>
  <c r="AL127" i="1"/>
  <c r="AH127" i="1"/>
  <c r="AB127" i="1"/>
  <c r="X127" i="1"/>
  <c r="T127" i="1"/>
  <c r="AL126" i="1"/>
  <c r="AH126" i="1"/>
  <c r="AK126" i="1" s="1"/>
  <c r="X126" i="1"/>
  <c r="W126" i="1"/>
  <c r="V126" i="1"/>
  <c r="T126" i="1"/>
  <c r="AB126" i="1" s="1"/>
  <c r="AL125" i="1"/>
  <c r="AK125" i="1"/>
  <c r="X125" i="1"/>
  <c r="W125" i="1"/>
  <c r="T125" i="1"/>
  <c r="AH125" i="1" s="1"/>
  <c r="AJ125" i="1" s="1"/>
  <c r="AL124" i="1"/>
  <c r="AB124" i="1"/>
  <c r="X124" i="1"/>
  <c r="T124" i="1"/>
  <c r="AL123" i="1"/>
  <c r="AH123" i="1"/>
  <c r="AB123" i="1"/>
  <c r="X123" i="1"/>
  <c r="T123" i="1"/>
  <c r="AL122" i="1"/>
  <c r="AH122" i="1"/>
  <c r="AK122" i="1" s="1"/>
  <c r="X122" i="1"/>
  <c r="W122" i="1"/>
  <c r="V122" i="1"/>
  <c r="T122" i="1"/>
  <c r="AB122" i="1" s="1"/>
  <c r="AL121" i="1"/>
  <c r="AK121" i="1"/>
  <c r="X121" i="1"/>
  <c r="W121" i="1"/>
  <c r="T121" i="1"/>
  <c r="AH121" i="1" s="1"/>
  <c r="AJ121" i="1" s="1"/>
  <c r="AL120" i="1"/>
  <c r="AB120" i="1"/>
  <c r="X120" i="1"/>
  <c r="T120" i="1"/>
  <c r="AL119" i="1"/>
  <c r="AH119" i="1"/>
  <c r="AB119" i="1"/>
  <c r="X119" i="1"/>
  <c r="T119" i="1"/>
  <c r="AL118" i="1"/>
  <c r="AH118" i="1"/>
  <c r="AK118" i="1" s="1"/>
  <c r="X118" i="1"/>
  <c r="W118" i="1"/>
  <c r="V118" i="1"/>
  <c r="T118" i="1"/>
  <c r="AB118" i="1" s="1"/>
  <c r="AL117" i="1"/>
  <c r="AK117" i="1"/>
  <c r="X117" i="1"/>
  <c r="W117" i="1"/>
  <c r="T117" i="1"/>
  <c r="AH117" i="1" s="1"/>
  <c r="AJ117" i="1" s="1"/>
  <c r="AL116" i="1"/>
  <c r="AB116" i="1"/>
  <c r="X116" i="1"/>
  <c r="T116" i="1"/>
  <c r="AL115" i="1"/>
  <c r="AH115" i="1"/>
  <c r="AB115" i="1"/>
  <c r="X115" i="1"/>
  <c r="T115" i="1"/>
  <c r="AL114" i="1"/>
  <c r="AH114" i="1"/>
  <c r="AK114" i="1" s="1"/>
  <c r="X114" i="1"/>
  <c r="W114" i="1"/>
  <c r="V114" i="1"/>
  <c r="T114" i="1"/>
  <c r="AB114" i="1" s="1"/>
  <c r="AL113" i="1"/>
  <c r="AK113" i="1"/>
  <c r="X113" i="1"/>
  <c r="W113" i="1"/>
  <c r="T113" i="1"/>
  <c r="AH113" i="1" s="1"/>
  <c r="AJ113" i="1" s="1"/>
  <c r="AL112" i="1"/>
  <c r="AB112" i="1"/>
  <c r="X112" i="1"/>
  <c r="T112" i="1"/>
  <c r="AL111" i="1"/>
  <c r="AH111" i="1"/>
  <c r="AB111" i="1"/>
  <c r="X111" i="1"/>
  <c r="T111" i="1"/>
  <c r="AL110" i="1"/>
  <c r="AH110" i="1"/>
  <c r="AK110" i="1" s="1"/>
  <c r="X110" i="1"/>
  <c r="W110" i="1"/>
  <c r="V110" i="1"/>
  <c r="T110" i="1"/>
  <c r="AB110" i="1" s="1"/>
  <c r="AL109" i="1"/>
  <c r="AK109" i="1"/>
  <c r="X109" i="1"/>
  <c r="W109" i="1"/>
  <c r="T109" i="1"/>
  <c r="AH109" i="1" s="1"/>
  <c r="AJ109" i="1" s="1"/>
  <c r="AL108" i="1"/>
  <c r="AB108" i="1"/>
  <c r="X108" i="1"/>
  <c r="T108" i="1"/>
  <c r="AL107" i="1"/>
  <c r="AH107" i="1"/>
  <c r="AB107" i="1"/>
  <c r="X107" i="1"/>
  <c r="T107" i="1"/>
  <c r="AL106" i="1"/>
  <c r="AH106" i="1"/>
  <c r="AK106" i="1" s="1"/>
  <c r="X106" i="1"/>
  <c r="W106" i="1"/>
  <c r="V106" i="1"/>
  <c r="T106" i="1"/>
  <c r="AB106" i="1" s="1"/>
  <c r="AL105" i="1"/>
  <c r="AK105" i="1"/>
  <c r="X105" i="1"/>
  <c r="W105" i="1"/>
  <c r="T105" i="1"/>
  <c r="AH105" i="1" s="1"/>
  <c r="AJ105" i="1" s="1"/>
  <c r="AL104" i="1"/>
  <c r="AB104" i="1"/>
  <c r="X104" i="1"/>
  <c r="T104" i="1"/>
  <c r="AL103" i="1"/>
  <c r="AH103" i="1"/>
  <c r="AK103" i="1" s="1"/>
  <c r="X103" i="1"/>
  <c r="W103" i="1"/>
  <c r="V103" i="1"/>
  <c r="T103" i="1"/>
  <c r="AB103" i="1" s="1"/>
  <c r="AL102" i="1"/>
  <c r="AK102" i="1"/>
  <c r="AJ102" i="1"/>
  <c r="AH102" i="1"/>
  <c r="X102" i="1"/>
  <c r="W102" i="1"/>
  <c r="V102" i="1"/>
  <c r="T102" i="1"/>
  <c r="AB102" i="1" s="1"/>
  <c r="AL101" i="1"/>
  <c r="X101" i="1"/>
  <c r="T101" i="1"/>
  <c r="W101" i="1" s="1"/>
  <c r="AL100" i="1"/>
  <c r="AB100" i="1"/>
  <c r="X100" i="1"/>
  <c r="V100" i="1"/>
  <c r="T100" i="1"/>
  <c r="W100" i="1" s="1"/>
  <c r="AL99" i="1"/>
  <c r="AH99" i="1"/>
  <c r="X99" i="1"/>
  <c r="T99" i="1"/>
  <c r="AL98" i="1"/>
  <c r="AH98" i="1"/>
  <c r="AK98" i="1" s="1"/>
  <c r="X98" i="1"/>
  <c r="W98" i="1"/>
  <c r="V98" i="1"/>
  <c r="T98" i="1"/>
  <c r="AB98" i="1" s="1"/>
  <c r="AL97" i="1"/>
  <c r="X97" i="1"/>
  <c r="T97" i="1"/>
  <c r="AL96" i="1"/>
  <c r="AB96" i="1"/>
  <c r="X96" i="1"/>
  <c r="V96" i="1"/>
  <c r="T96" i="1"/>
  <c r="W96" i="1" s="1"/>
  <c r="AL95" i="1"/>
  <c r="AJ95" i="1"/>
  <c r="AH95" i="1"/>
  <c r="AK95" i="1" s="1"/>
  <c r="X95" i="1"/>
  <c r="W95" i="1"/>
  <c r="V95" i="1"/>
  <c r="T95" i="1"/>
  <c r="AB95" i="1" s="1"/>
  <c r="AL94" i="1"/>
  <c r="AK94" i="1"/>
  <c r="AJ94" i="1"/>
  <c r="AH94" i="1"/>
  <c r="X94" i="1"/>
  <c r="W94" i="1"/>
  <c r="V94" i="1"/>
  <c r="T94" i="1"/>
  <c r="AB94" i="1" s="1"/>
  <c r="AL93" i="1"/>
  <c r="X93" i="1"/>
  <c r="T93" i="1"/>
  <c r="W93" i="1" s="1"/>
  <c r="AL92" i="1"/>
  <c r="AB92" i="1"/>
  <c r="X92" i="1"/>
  <c r="V92" i="1"/>
  <c r="T92" i="1"/>
  <c r="W92" i="1" s="1"/>
  <c r="AL91" i="1"/>
  <c r="X91" i="1"/>
  <c r="T91" i="1"/>
  <c r="AL90" i="1"/>
  <c r="AH90" i="1"/>
  <c r="AK90" i="1" s="1"/>
  <c r="X90" i="1"/>
  <c r="W90" i="1"/>
  <c r="V90" i="1"/>
  <c r="T90" i="1"/>
  <c r="AB90" i="1" s="1"/>
  <c r="AL89" i="1"/>
  <c r="X89" i="1"/>
  <c r="T89" i="1"/>
  <c r="AL88" i="1"/>
  <c r="AB88" i="1"/>
  <c r="X88" i="1"/>
  <c r="V88" i="1"/>
  <c r="T88" i="1"/>
  <c r="W88" i="1" s="1"/>
  <c r="AL87" i="1"/>
  <c r="AH87" i="1"/>
  <c r="AK87" i="1" s="1"/>
  <c r="X87" i="1"/>
  <c r="W87" i="1"/>
  <c r="V87" i="1"/>
  <c r="T87" i="1"/>
  <c r="AB87" i="1" s="1"/>
  <c r="AL86" i="1"/>
  <c r="AK86" i="1"/>
  <c r="AJ86" i="1"/>
  <c r="AH86" i="1"/>
  <c r="X86" i="1"/>
  <c r="W86" i="1"/>
  <c r="V86" i="1"/>
  <c r="T86" i="1"/>
  <c r="AB86" i="1" s="1"/>
  <c r="AL85" i="1"/>
  <c r="X85" i="1"/>
  <c r="T85" i="1"/>
  <c r="W85" i="1" s="1"/>
  <c r="AL84" i="1"/>
  <c r="AB84" i="1"/>
  <c r="X84" i="1"/>
  <c r="V84" i="1"/>
  <c r="T84" i="1"/>
  <c r="W84" i="1" s="1"/>
  <c r="AL83" i="1"/>
  <c r="AH83" i="1"/>
  <c r="AB83" i="1"/>
  <c r="X83" i="1"/>
  <c r="T83" i="1"/>
  <c r="AL82" i="1"/>
  <c r="AH82" i="1"/>
  <c r="AK82" i="1" s="1"/>
  <c r="X82" i="1"/>
  <c r="W82" i="1"/>
  <c r="V82" i="1"/>
  <c r="T82" i="1"/>
  <c r="AB82" i="1" s="1"/>
  <c r="AL81" i="1"/>
  <c r="X81" i="1"/>
  <c r="T81" i="1"/>
  <c r="AL80" i="1"/>
  <c r="AB80" i="1"/>
  <c r="X80" i="1"/>
  <c r="V80" i="1"/>
  <c r="T80" i="1"/>
  <c r="W80" i="1" s="1"/>
  <c r="AL79" i="1"/>
  <c r="AH79" i="1"/>
  <c r="AK79" i="1" s="1"/>
  <c r="X79" i="1"/>
  <c r="W79" i="1"/>
  <c r="V79" i="1"/>
  <c r="T79" i="1"/>
  <c r="AB79" i="1" s="1"/>
  <c r="AL78" i="1"/>
  <c r="AK78" i="1"/>
  <c r="AJ78" i="1"/>
  <c r="AH78" i="1"/>
  <c r="X78" i="1"/>
  <c r="W78" i="1"/>
  <c r="V78" i="1"/>
  <c r="T78" i="1"/>
  <c r="AB78" i="1" s="1"/>
  <c r="AL77" i="1"/>
  <c r="X77" i="1"/>
  <c r="T77" i="1"/>
  <c r="W77" i="1" s="1"/>
  <c r="AL76" i="1"/>
  <c r="AB76" i="1"/>
  <c r="X76" i="1"/>
  <c r="V76" i="1"/>
  <c r="T76" i="1"/>
  <c r="W76" i="1" s="1"/>
  <c r="AL75" i="1"/>
  <c r="AH75" i="1"/>
  <c r="AB75" i="1"/>
  <c r="X75" i="1"/>
  <c r="T75" i="1"/>
  <c r="AL74" i="1"/>
  <c r="AH74" i="1"/>
  <c r="AK74" i="1" s="1"/>
  <c r="X74" i="1"/>
  <c r="W74" i="1"/>
  <c r="V74" i="1"/>
  <c r="T74" i="1"/>
  <c r="AB74" i="1" s="1"/>
  <c r="AL73" i="1"/>
  <c r="X73" i="1"/>
  <c r="T73" i="1"/>
  <c r="AL72" i="1"/>
  <c r="AB72" i="1"/>
  <c r="X72" i="1"/>
  <c r="V72" i="1"/>
  <c r="T72" i="1"/>
  <c r="W72" i="1" s="1"/>
  <c r="AL71" i="1"/>
  <c r="AH71" i="1"/>
  <c r="AK71" i="1" s="1"/>
  <c r="X71" i="1"/>
  <c r="W71" i="1"/>
  <c r="V71" i="1"/>
  <c r="T71" i="1"/>
  <c r="AB71" i="1" s="1"/>
  <c r="AL70" i="1"/>
  <c r="AK70" i="1"/>
  <c r="AJ70" i="1"/>
  <c r="AH70" i="1"/>
  <c r="X70" i="1"/>
  <c r="W70" i="1"/>
  <c r="V70" i="1"/>
  <c r="T70" i="1"/>
  <c r="AB70" i="1" s="1"/>
  <c r="AL69" i="1"/>
  <c r="X69" i="1"/>
  <c r="T69" i="1"/>
  <c r="W69" i="1" s="1"/>
  <c r="AL68" i="1"/>
  <c r="AB68" i="1"/>
  <c r="X68" i="1"/>
  <c r="V68" i="1"/>
  <c r="T68" i="1"/>
  <c r="W68" i="1" s="1"/>
  <c r="AL67" i="1"/>
  <c r="AH67" i="1"/>
  <c r="X67" i="1"/>
  <c r="T67" i="1"/>
  <c r="AL66" i="1"/>
  <c r="AH66" i="1"/>
  <c r="AK66" i="1" s="1"/>
  <c r="X66" i="1"/>
  <c r="W66" i="1"/>
  <c r="V66" i="1"/>
  <c r="T66" i="1"/>
  <c r="AB66" i="1" s="1"/>
  <c r="AL65" i="1"/>
  <c r="X65" i="1"/>
  <c r="T65" i="1"/>
  <c r="AL64" i="1"/>
  <c r="AB64" i="1"/>
  <c r="X64" i="1"/>
  <c r="V64" i="1"/>
  <c r="T64" i="1"/>
  <c r="W64" i="1" s="1"/>
  <c r="AL63" i="1"/>
  <c r="AJ63" i="1"/>
  <c r="AH63" i="1"/>
  <c r="AK63" i="1" s="1"/>
  <c r="X63" i="1"/>
  <c r="W63" i="1"/>
  <c r="V63" i="1"/>
  <c r="T63" i="1"/>
  <c r="AB63" i="1" s="1"/>
  <c r="AL62" i="1"/>
  <c r="AB62" i="1"/>
  <c r="X62" i="1"/>
  <c r="T62" i="1"/>
  <c r="AL61" i="1"/>
  <c r="AB61" i="1"/>
  <c r="X61" i="1"/>
  <c r="T61" i="1"/>
  <c r="W61" i="1" s="1"/>
  <c r="AL60" i="1"/>
  <c r="X60" i="1"/>
  <c r="T60" i="1"/>
  <c r="AL59" i="1"/>
  <c r="AB59" i="1"/>
  <c r="X59" i="1"/>
  <c r="V59" i="1"/>
  <c r="T59" i="1"/>
  <c r="W59" i="1" s="1"/>
  <c r="AL58" i="1"/>
  <c r="AH58" i="1"/>
  <c r="AK58" i="1" s="1"/>
  <c r="X58" i="1"/>
  <c r="W58" i="1"/>
  <c r="V58" i="1"/>
  <c r="T58" i="1"/>
  <c r="AB58" i="1" s="1"/>
  <c r="AL57" i="1"/>
  <c r="X57" i="1"/>
  <c r="W57" i="1"/>
  <c r="T57" i="1"/>
  <c r="AB57" i="1" s="1"/>
  <c r="AL56" i="1"/>
  <c r="X56" i="1"/>
  <c r="T56" i="1"/>
  <c r="AL55" i="1"/>
  <c r="AB55" i="1"/>
  <c r="X55" i="1"/>
  <c r="V55" i="1"/>
  <c r="T55" i="1"/>
  <c r="W55" i="1" s="1"/>
  <c r="AL54" i="1"/>
  <c r="AH54" i="1"/>
  <c r="AK54" i="1" s="1"/>
  <c r="X54" i="1"/>
  <c r="W54" i="1"/>
  <c r="V54" i="1"/>
  <c r="T54" i="1"/>
  <c r="AB54" i="1" s="1"/>
  <c r="AL53" i="1"/>
  <c r="AJ53" i="1"/>
  <c r="X53" i="1"/>
  <c r="W53" i="1"/>
  <c r="T53" i="1"/>
  <c r="AH53" i="1" s="1"/>
  <c r="AK53" i="1" s="1"/>
  <c r="AL52" i="1"/>
  <c r="X52" i="1"/>
  <c r="T52" i="1"/>
  <c r="AL51" i="1"/>
  <c r="AB51" i="1"/>
  <c r="X51" i="1"/>
  <c r="V51" i="1"/>
  <c r="T51" i="1"/>
  <c r="W51" i="1" s="1"/>
  <c r="AL50" i="1"/>
  <c r="AH50" i="1"/>
  <c r="AK50" i="1" s="1"/>
  <c r="X50" i="1"/>
  <c r="W50" i="1"/>
  <c r="V50" i="1"/>
  <c r="T50" i="1"/>
  <c r="AB50" i="1" s="1"/>
  <c r="AL49" i="1"/>
  <c r="AJ49" i="1"/>
  <c r="X49" i="1"/>
  <c r="W49" i="1"/>
  <c r="T49" i="1"/>
  <c r="AH49" i="1" s="1"/>
  <c r="AK49" i="1" s="1"/>
  <c r="AL48" i="1"/>
  <c r="X48" i="1"/>
  <c r="T48" i="1"/>
  <c r="AL47" i="1"/>
  <c r="AB47" i="1"/>
  <c r="X47" i="1"/>
  <c r="V47" i="1"/>
  <c r="T47" i="1"/>
  <c r="W47" i="1" s="1"/>
  <c r="AL46" i="1"/>
  <c r="AH46" i="1"/>
  <c r="AK46" i="1" s="1"/>
  <c r="X46" i="1"/>
  <c r="W46" i="1"/>
  <c r="V46" i="1"/>
  <c r="T46" i="1"/>
  <c r="AB46" i="1" s="1"/>
  <c r="AL45" i="1"/>
  <c r="AJ45" i="1"/>
  <c r="X45" i="1"/>
  <c r="W45" i="1"/>
  <c r="T45" i="1"/>
  <c r="AH45" i="1" s="1"/>
  <c r="AK45" i="1" s="1"/>
  <c r="AL44" i="1"/>
  <c r="X44" i="1"/>
  <c r="T44" i="1"/>
  <c r="AL43" i="1"/>
  <c r="AB43" i="1"/>
  <c r="X43" i="1"/>
  <c r="V43" i="1"/>
  <c r="T43" i="1"/>
  <c r="W43" i="1" s="1"/>
  <c r="AL42" i="1"/>
  <c r="AH42" i="1"/>
  <c r="AK42" i="1" s="1"/>
  <c r="X42" i="1"/>
  <c r="W42" i="1"/>
  <c r="V42" i="1"/>
  <c r="T42" i="1"/>
  <c r="AB42" i="1" s="1"/>
  <c r="AL41" i="1"/>
  <c r="AJ41" i="1"/>
  <c r="X41" i="1"/>
  <c r="W41" i="1"/>
  <c r="T41" i="1"/>
  <c r="AH41" i="1" s="1"/>
  <c r="AK41" i="1" s="1"/>
  <c r="AL40" i="1"/>
  <c r="X40" i="1"/>
  <c r="T40" i="1"/>
  <c r="AB40" i="1" s="1"/>
  <c r="AL39" i="1"/>
  <c r="AB39" i="1"/>
  <c r="X39" i="1"/>
  <c r="V39" i="1"/>
  <c r="T39" i="1"/>
  <c r="W39" i="1" s="1"/>
  <c r="AL38" i="1"/>
  <c r="AH38" i="1"/>
  <c r="AK38" i="1" s="1"/>
  <c r="X38" i="1"/>
  <c r="W38" i="1"/>
  <c r="V38" i="1"/>
  <c r="T38" i="1"/>
  <c r="AB38" i="1" s="1"/>
  <c r="AL37" i="1"/>
  <c r="AK37" i="1"/>
  <c r="AJ37" i="1"/>
  <c r="X37" i="1"/>
  <c r="W37" i="1"/>
  <c r="T37" i="1"/>
  <c r="AH37" i="1" s="1"/>
  <c r="AL36" i="1"/>
  <c r="X36" i="1"/>
  <c r="T36" i="1"/>
  <c r="AL35" i="1"/>
  <c r="AB35" i="1"/>
  <c r="X35" i="1"/>
  <c r="V35" i="1"/>
  <c r="T35" i="1"/>
  <c r="W35" i="1" s="1"/>
  <c r="AL34" i="1"/>
  <c r="AH34" i="1"/>
  <c r="AK34" i="1" s="1"/>
  <c r="X34" i="1"/>
  <c r="W34" i="1"/>
  <c r="V34" i="1"/>
  <c r="T34" i="1"/>
  <c r="AB34" i="1" s="1"/>
  <c r="AL33" i="1"/>
  <c r="AJ33" i="1"/>
  <c r="X33" i="1"/>
  <c r="W33" i="1"/>
  <c r="T33" i="1"/>
  <c r="AH33" i="1" s="1"/>
  <c r="AK33" i="1" s="1"/>
  <c r="AL32" i="1"/>
  <c r="X32" i="1"/>
  <c r="T32" i="1"/>
  <c r="AB32" i="1" s="1"/>
  <c r="AL31" i="1"/>
  <c r="AB31" i="1"/>
  <c r="X31" i="1"/>
  <c r="V31" i="1"/>
  <c r="T31" i="1"/>
  <c r="W31" i="1" s="1"/>
  <c r="AL30" i="1"/>
  <c r="AH30" i="1"/>
  <c r="AK30" i="1" s="1"/>
  <c r="X30" i="1"/>
  <c r="W30" i="1"/>
  <c r="V30" i="1"/>
  <c r="T30" i="1"/>
  <c r="AB30" i="1" s="1"/>
  <c r="AL29" i="1"/>
  <c r="X29" i="1"/>
  <c r="W29" i="1"/>
  <c r="T29" i="1"/>
  <c r="AB29" i="1" s="1"/>
  <c r="AL28" i="1"/>
  <c r="X28" i="1"/>
  <c r="T28" i="1"/>
  <c r="AL27" i="1"/>
  <c r="AB27" i="1"/>
  <c r="X27" i="1"/>
  <c r="V27" i="1"/>
  <c r="T27" i="1"/>
  <c r="W27" i="1" s="1"/>
  <c r="AL26" i="1"/>
  <c r="AH26" i="1"/>
  <c r="AK26" i="1" s="1"/>
  <c r="X26" i="1"/>
  <c r="W26" i="1"/>
  <c r="V26" i="1"/>
  <c r="T26" i="1"/>
  <c r="AB26" i="1" s="1"/>
  <c r="AL25" i="1"/>
  <c r="X25" i="1"/>
  <c r="W25" i="1"/>
  <c r="T25" i="1"/>
  <c r="AB25" i="1" s="1"/>
  <c r="AL24" i="1"/>
  <c r="X24" i="1"/>
  <c r="T24" i="1"/>
  <c r="AL23" i="1"/>
  <c r="AB23" i="1"/>
  <c r="X23" i="1"/>
  <c r="V23" i="1"/>
  <c r="T23" i="1"/>
  <c r="W23" i="1" s="1"/>
  <c r="AL22" i="1"/>
  <c r="AH22" i="1"/>
  <c r="AK22" i="1" s="1"/>
  <c r="X22" i="1"/>
  <c r="W22" i="1"/>
  <c r="V22" i="1"/>
  <c r="T22" i="1"/>
  <c r="AB22" i="1" s="1"/>
  <c r="AL21" i="1"/>
  <c r="X21" i="1"/>
  <c r="W21" i="1"/>
  <c r="T21" i="1"/>
  <c r="AB21" i="1" s="1"/>
  <c r="AL20" i="1"/>
  <c r="X20" i="1"/>
  <c r="T20" i="1"/>
  <c r="AL19" i="1"/>
  <c r="AB19" i="1"/>
  <c r="X19" i="1"/>
  <c r="V19" i="1"/>
  <c r="T19" i="1"/>
  <c r="W19" i="1" s="1"/>
  <c r="AL18" i="1"/>
  <c r="AH18" i="1"/>
  <c r="AK18" i="1" s="1"/>
  <c r="X18" i="1"/>
  <c r="W18" i="1"/>
  <c r="V18" i="1"/>
  <c r="T18" i="1"/>
  <c r="AB18" i="1" s="1"/>
  <c r="AL17" i="1"/>
  <c r="AJ17" i="1"/>
  <c r="X17" i="1"/>
  <c r="W17" i="1"/>
  <c r="T17" i="1"/>
  <c r="AH17" i="1" s="1"/>
  <c r="AK17" i="1" s="1"/>
  <c r="AL16" i="1"/>
  <c r="X16" i="1"/>
  <c r="T16" i="1"/>
  <c r="AL15" i="1"/>
  <c r="AB15" i="1"/>
  <c r="X15" i="1"/>
  <c r="V15" i="1"/>
  <c r="T15" i="1"/>
  <c r="W15" i="1" s="1"/>
  <c r="AL14" i="1"/>
  <c r="AH14" i="1"/>
  <c r="AK14" i="1" s="1"/>
  <c r="X14" i="1"/>
  <c r="W14" i="1"/>
  <c r="V14" i="1"/>
  <c r="T14" i="1"/>
  <c r="AB14" i="1" s="1"/>
  <c r="AL13" i="1"/>
  <c r="X13" i="1"/>
  <c r="W13" i="1"/>
  <c r="T13" i="1"/>
  <c r="AB13" i="1" s="1"/>
  <c r="AL12" i="1"/>
  <c r="X12" i="1"/>
  <c r="T12" i="1"/>
  <c r="AL11" i="1"/>
  <c r="AB11" i="1"/>
  <c r="X11" i="1"/>
  <c r="V11" i="1"/>
  <c r="T11" i="1"/>
  <c r="W11" i="1" s="1"/>
  <c r="AL10" i="1"/>
  <c r="AH10" i="1"/>
  <c r="AK10" i="1" s="1"/>
  <c r="X10" i="1"/>
  <c r="W10" i="1"/>
  <c r="V10" i="1"/>
  <c r="T10" i="1"/>
  <c r="AB10" i="1" s="1"/>
  <c r="AL9" i="1"/>
  <c r="X9" i="1"/>
  <c r="W9" i="1"/>
  <c r="T9" i="1"/>
  <c r="AB9" i="1" s="1"/>
  <c r="AL8" i="1"/>
  <c r="X8" i="1"/>
  <c r="T8" i="1"/>
  <c r="AB8" i="1" s="1"/>
  <c r="AL7" i="1"/>
  <c r="AB7" i="1"/>
  <c r="X7" i="1"/>
  <c r="V7" i="1"/>
  <c r="T7" i="1"/>
  <c r="W7" i="1" s="1"/>
  <c r="AL6" i="1"/>
  <c r="AH6" i="1"/>
  <c r="AK6" i="1" s="1"/>
  <c r="X6" i="1"/>
  <c r="W6" i="1"/>
  <c r="V6" i="1"/>
  <c r="T6" i="1"/>
  <c r="AB6" i="1" s="1"/>
  <c r="AL5" i="1"/>
  <c r="X5" i="1"/>
  <c r="W5" i="1"/>
  <c r="T5" i="1"/>
  <c r="AB5" i="1" s="1"/>
  <c r="AL4" i="1"/>
  <c r="X4" i="1"/>
  <c r="T4" i="1"/>
  <c r="AB4" i="1" s="1"/>
  <c r="AL3" i="1"/>
  <c r="AB3" i="1"/>
  <c r="X3" i="1"/>
  <c r="V3" i="1"/>
  <c r="T3" i="1"/>
  <c r="W3" i="1" s="1"/>
  <c r="AH73" i="1" l="1"/>
  <c r="V73" i="1"/>
  <c r="W73" i="1"/>
  <c r="AB73" i="1"/>
  <c r="W91" i="1"/>
  <c r="V91" i="1"/>
  <c r="W156" i="1"/>
  <c r="AH156" i="1"/>
  <c r="V156" i="1"/>
  <c r="AB156" i="1"/>
  <c r="W200" i="1"/>
  <c r="V200" i="1"/>
  <c r="AB200" i="1"/>
  <c r="AH200" i="1"/>
  <c r="AJ6" i="1"/>
  <c r="V12" i="1"/>
  <c r="W12" i="1"/>
  <c r="AH12" i="1"/>
  <c r="W16" i="1"/>
  <c r="AH16" i="1"/>
  <c r="V16" i="1"/>
  <c r="AH20" i="1"/>
  <c r="W20" i="1"/>
  <c r="V20" i="1"/>
  <c r="AJ22" i="1"/>
  <c r="AH24" i="1"/>
  <c r="W24" i="1"/>
  <c r="V24" i="1"/>
  <c r="AJ26" i="1"/>
  <c r="AH28" i="1"/>
  <c r="W28" i="1"/>
  <c r="V28" i="1"/>
  <c r="AJ30" i="1"/>
  <c r="AJ34" i="1"/>
  <c r="AH36" i="1"/>
  <c r="W36" i="1"/>
  <c r="V36" i="1"/>
  <c r="AJ38" i="1"/>
  <c r="AJ42" i="1"/>
  <c r="AH44" i="1"/>
  <c r="W44" i="1"/>
  <c r="V44" i="1"/>
  <c r="AJ46" i="1"/>
  <c r="W48" i="1"/>
  <c r="AH48" i="1"/>
  <c r="V48" i="1"/>
  <c r="AJ50" i="1"/>
  <c r="W52" i="1"/>
  <c r="AH52" i="1"/>
  <c r="V52" i="1"/>
  <c r="V56" i="1"/>
  <c r="W56" i="1"/>
  <c r="AH56" i="1"/>
  <c r="AJ58" i="1"/>
  <c r="AH60" i="1"/>
  <c r="V60" i="1"/>
  <c r="W60" i="1"/>
  <c r="W67" i="1"/>
  <c r="V67" i="1"/>
  <c r="AJ71" i="1"/>
  <c r="AK75" i="1"/>
  <c r="AJ75" i="1"/>
  <c r="AH81" i="1"/>
  <c r="V81" i="1"/>
  <c r="W81" i="1"/>
  <c r="AB81" i="1"/>
  <c r="W99" i="1"/>
  <c r="V99" i="1"/>
  <c r="AJ103" i="1"/>
  <c r="AK111" i="1"/>
  <c r="AJ111" i="1"/>
  <c r="AK119" i="1"/>
  <c r="AJ119" i="1"/>
  <c r="AK131" i="1"/>
  <c r="AJ131" i="1"/>
  <c r="AK135" i="1"/>
  <c r="AJ135" i="1"/>
  <c r="AK139" i="1"/>
  <c r="AJ139" i="1"/>
  <c r="AK163" i="1"/>
  <c r="AJ163" i="1"/>
  <c r="AK180" i="1"/>
  <c r="AJ180" i="1"/>
  <c r="AH182" i="1"/>
  <c r="V182" i="1"/>
  <c r="W182" i="1"/>
  <c r="AB182" i="1"/>
  <c r="AK184" i="1"/>
  <c r="AJ184" i="1"/>
  <c r="AH62" i="1"/>
  <c r="V62" i="1"/>
  <c r="W62" i="1"/>
  <c r="W75" i="1"/>
  <c r="V75" i="1"/>
  <c r="AJ79" i="1"/>
  <c r="AK83" i="1"/>
  <c r="AJ83" i="1"/>
  <c r="AH89" i="1"/>
  <c r="V89" i="1"/>
  <c r="W89" i="1"/>
  <c r="AB89" i="1"/>
  <c r="AB91" i="1"/>
  <c r="AH3" i="1"/>
  <c r="AH7" i="1"/>
  <c r="AH11" i="1"/>
  <c r="AB12" i="1"/>
  <c r="AH15" i="1"/>
  <c r="AB16" i="1"/>
  <c r="AH19" i="1"/>
  <c r="AB20" i="1"/>
  <c r="AH23" i="1"/>
  <c r="AB24" i="1"/>
  <c r="AH27" i="1"/>
  <c r="AB28" i="1"/>
  <c r="AH31" i="1"/>
  <c r="AH35" i="1"/>
  <c r="AB36" i="1"/>
  <c r="AH39" i="1"/>
  <c r="AH43" i="1"/>
  <c r="AB44" i="1"/>
  <c r="AH47" i="1"/>
  <c r="AB48" i="1"/>
  <c r="AH51" i="1"/>
  <c r="AB52" i="1"/>
  <c r="AH55" i="1"/>
  <c r="AB56" i="1"/>
  <c r="AH59" i="1"/>
  <c r="AB60" i="1"/>
  <c r="AH65" i="1"/>
  <c r="V65" i="1"/>
  <c r="W65" i="1"/>
  <c r="AB65" i="1"/>
  <c r="AB67" i="1"/>
  <c r="W83" i="1"/>
  <c r="V83" i="1"/>
  <c r="AJ87" i="1"/>
  <c r="AH91" i="1"/>
  <c r="AH97" i="1"/>
  <c r="V97" i="1"/>
  <c r="W97" i="1"/>
  <c r="AB97" i="1"/>
  <c r="AB99" i="1"/>
  <c r="W157" i="1"/>
  <c r="V157" i="1"/>
  <c r="AB157" i="1"/>
  <c r="AH157" i="1"/>
  <c r="AK67" i="1"/>
  <c r="AJ67" i="1"/>
  <c r="AK99" i="1"/>
  <c r="AJ99" i="1"/>
  <c r="V4" i="1"/>
  <c r="W4" i="1"/>
  <c r="AH4" i="1"/>
  <c r="V8" i="1"/>
  <c r="W8" i="1"/>
  <c r="AH8" i="1"/>
  <c r="AJ10" i="1"/>
  <c r="AJ14" i="1"/>
  <c r="AJ18" i="1"/>
  <c r="AH32" i="1"/>
  <c r="W32" i="1"/>
  <c r="V32" i="1"/>
  <c r="AH40" i="1"/>
  <c r="W40" i="1"/>
  <c r="V40" i="1"/>
  <c r="AJ54" i="1"/>
  <c r="AK107" i="1"/>
  <c r="AJ107" i="1"/>
  <c r="AK115" i="1"/>
  <c r="AJ115" i="1"/>
  <c r="AK123" i="1"/>
  <c r="AJ123" i="1"/>
  <c r="AK127" i="1"/>
  <c r="AJ127" i="1"/>
  <c r="AK143" i="1"/>
  <c r="AJ143" i="1"/>
  <c r="AJ160" i="1"/>
  <c r="W209" i="1"/>
  <c r="AB209" i="1"/>
  <c r="V209" i="1"/>
  <c r="AH209" i="1"/>
  <c r="AB17" i="1"/>
  <c r="AB33" i="1"/>
  <c r="AB37" i="1"/>
  <c r="AB41" i="1"/>
  <c r="AB45" i="1"/>
  <c r="AB49" i="1"/>
  <c r="AB53" i="1"/>
  <c r="V5" i="1"/>
  <c r="AH5" i="1"/>
  <c r="V9" i="1"/>
  <c r="AH9" i="1"/>
  <c r="V13" i="1"/>
  <c r="AH13" i="1"/>
  <c r="V17" i="1"/>
  <c r="V21" i="1"/>
  <c r="AH21" i="1"/>
  <c r="V25" i="1"/>
  <c r="AH25" i="1"/>
  <c r="V29" i="1"/>
  <c r="AH29" i="1"/>
  <c r="V33" i="1"/>
  <c r="V37" i="1"/>
  <c r="V41" i="1"/>
  <c r="V45" i="1"/>
  <c r="V49" i="1"/>
  <c r="V53" i="1"/>
  <c r="V57" i="1"/>
  <c r="AH57" i="1"/>
  <c r="V61" i="1"/>
  <c r="AJ66" i="1"/>
  <c r="AH68" i="1"/>
  <c r="AJ74" i="1"/>
  <c r="AH76" i="1"/>
  <c r="AJ82" i="1"/>
  <c r="AH84" i="1"/>
  <c r="AJ90" i="1"/>
  <c r="AH92" i="1"/>
  <c r="AJ98" i="1"/>
  <c r="AH100" i="1"/>
  <c r="AJ145" i="1"/>
  <c r="AK145" i="1"/>
  <c r="AK147" i="1"/>
  <c r="AJ147" i="1"/>
  <c r="AH166" i="1"/>
  <c r="V166" i="1"/>
  <c r="AB166" i="1"/>
  <c r="AJ177" i="1"/>
  <c r="AK177" i="1"/>
  <c r="W216" i="1"/>
  <c r="V216" i="1"/>
  <c r="AB216" i="1"/>
  <c r="AH216" i="1"/>
  <c r="AH61" i="1"/>
  <c r="AH69" i="1"/>
  <c r="V69" i="1"/>
  <c r="AB69" i="1"/>
  <c r="AH77" i="1"/>
  <c r="V77" i="1"/>
  <c r="AB77" i="1"/>
  <c r="AH85" i="1"/>
  <c r="V85" i="1"/>
  <c r="AB85" i="1"/>
  <c r="AH93" i="1"/>
  <c r="V93" i="1"/>
  <c r="AB93" i="1"/>
  <c r="AH101" i="1"/>
  <c r="V101" i="1"/>
  <c r="AB101" i="1"/>
  <c r="W107" i="1"/>
  <c r="V107" i="1"/>
  <c r="W111" i="1"/>
  <c r="V111" i="1"/>
  <c r="W115" i="1"/>
  <c r="V115" i="1"/>
  <c r="W119" i="1"/>
  <c r="V119" i="1"/>
  <c r="W123" i="1"/>
  <c r="V123" i="1"/>
  <c r="W127" i="1"/>
  <c r="V127" i="1"/>
  <c r="W131" i="1"/>
  <c r="V131" i="1"/>
  <c r="W135" i="1"/>
  <c r="V135" i="1"/>
  <c r="W139" i="1"/>
  <c r="V139" i="1"/>
  <c r="W143" i="1"/>
  <c r="V143" i="1"/>
  <c r="AH150" i="1"/>
  <c r="V150" i="1"/>
  <c r="AB150" i="1"/>
  <c r="AK207" i="1"/>
  <c r="AJ207" i="1"/>
  <c r="AH64" i="1"/>
  <c r="AH72" i="1"/>
  <c r="AH80" i="1"/>
  <c r="AH88" i="1"/>
  <c r="AH96" i="1"/>
  <c r="W104" i="1"/>
  <c r="AH104" i="1"/>
  <c r="V104" i="1"/>
  <c r="AJ106" i="1"/>
  <c r="W108" i="1"/>
  <c r="AH108" i="1"/>
  <c r="V108" i="1"/>
  <c r="AJ110" i="1"/>
  <c r="W112" i="1"/>
  <c r="AH112" i="1"/>
  <c r="V112" i="1"/>
  <c r="AJ114" i="1"/>
  <c r="W116" i="1"/>
  <c r="AH116" i="1"/>
  <c r="V116" i="1"/>
  <c r="AJ118" i="1"/>
  <c r="W120" i="1"/>
  <c r="AH120" i="1"/>
  <c r="V120" i="1"/>
  <c r="AJ122" i="1"/>
  <c r="W124" i="1"/>
  <c r="AH124" i="1"/>
  <c r="V124" i="1"/>
  <c r="AJ126" i="1"/>
  <c r="W128" i="1"/>
  <c r="AH128" i="1"/>
  <c r="V128" i="1"/>
  <c r="AJ130" i="1"/>
  <c r="W132" i="1"/>
  <c r="AH132" i="1"/>
  <c r="V132" i="1"/>
  <c r="AJ134" i="1"/>
  <c r="W136" i="1"/>
  <c r="AH136" i="1"/>
  <c r="V136" i="1"/>
  <c r="AJ138" i="1"/>
  <c r="W140" i="1"/>
  <c r="AH140" i="1"/>
  <c r="V140" i="1"/>
  <c r="AJ142" i="1"/>
  <c r="W144" i="1"/>
  <c r="AH144" i="1"/>
  <c r="V144" i="1"/>
  <c r="W148" i="1"/>
  <c r="AH148" i="1"/>
  <c r="V148" i="1"/>
  <c r="W149" i="1"/>
  <c r="V149" i="1"/>
  <c r="AJ152" i="1"/>
  <c r="AK155" i="1"/>
  <c r="AJ155" i="1"/>
  <c r="W164" i="1"/>
  <c r="AH164" i="1"/>
  <c r="V164" i="1"/>
  <c r="W165" i="1"/>
  <c r="V165" i="1"/>
  <c r="W168" i="1"/>
  <c r="V168" i="1"/>
  <c r="W177" i="1"/>
  <c r="AB177" i="1"/>
  <c r="V177" i="1"/>
  <c r="AJ191" i="1"/>
  <c r="AK196" i="1"/>
  <c r="AJ196" i="1"/>
  <c r="AH198" i="1"/>
  <c r="V198" i="1"/>
  <c r="W198" i="1"/>
  <c r="AB198" i="1"/>
  <c r="AJ149" i="1"/>
  <c r="AK149" i="1"/>
  <c r="AH158" i="1"/>
  <c r="V158" i="1"/>
  <c r="AB158" i="1"/>
  <c r="AJ165" i="1"/>
  <c r="AK165" i="1"/>
  <c r="AK168" i="1"/>
  <c r="AJ168" i="1"/>
  <c r="W184" i="1"/>
  <c r="V184" i="1"/>
  <c r="W193" i="1"/>
  <c r="AB193" i="1"/>
  <c r="V193" i="1"/>
  <c r="AK212" i="1"/>
  <c r="AJ212" i="1"/>
  <c r="AH214" i="1"/>
  <c r="V214" i="1"/>
  <c r="W214" i="1"/>
  <c r="AB214" i="1"/>
  <c r="AB105" i="1"/>
  <c r="AB109" i="1"/>
  <c r="AB113" i="1"/>
  <c r="AB117" i="1"/>
  <c r="AB121" i="1"/>
  <c r="AB125" i="1"/>
  <c r="AB129" i="1"/>
  <c r="AB133" i="1"/>
  <c r="AB137" i="1"/>
  <c r="AB141" i="1"/>
  <c r="AB145" i="1"/>
  <c r="AH146" i="1"/>
  <c r="V146" i="1"/>
  <c r="AH154" i="1"/>
  <c r="V154" i="1"/>
  <c r="AH162" i="1"/>
  <c r="V162" i="1"/>
  <c r="AH222" i="1"/>
  <c r="V222" i="1"/>
  <c r="W222" i="1"/>
  <c r="AH224" i="1"/>
  <c r="V105" i="1"/>
  <c r="V109" i="1"/>
  <c r="V113" i="1"/>
  <c r="V117" i="1"/>
  <c r="V121" i="1"/>
  <c r="V125" i="1"/>
  <c r="V129" i="1"/>
  <c r="V133" i="1"/>
  <c r="V137" i="1"/>
  <c r="V141" i="1"/>
  <c r="V145" i="1"/>
  <c r="W146" i="1"/>
  <c r="AH153" i="1"/>
  <c r="W154" i="1"/>
  <c r="AH161" i="1"/>
  <c r="W162" i="1"/>
  <c r="AJ167" i="1"/>
  <c r="W169" i="1"/>
  <c r="AB169" i="1"/>
  <c r="AK169" i="1"/>
  <c r="AH174" i="1"/>
  <c r="V174" i="1"/>
  <c r="W174" i="1"/>
  <c r="AH176" i="1"/>
  <c r="AJ183" i="1"/>
  <c r="W185" i="1"/>
  <c r="AB185" i="1"/>
  <c r="AK185" i="1"/>
  <c r="AH190" i="1"/>
  <c r="V190" i="1"/>
  <c r="W190" i="1"/>
  <c r="AH192" i="1"/>
  <c r="AJ199" i="1"/>
  <c r="W201" i="1"/>
  <c r="AB201" i="1"/>
  <c r="AK201" i="1"/>
  <c r="AH206" i="1"/>
  <c r="V206" i="1"/>
  <c r="W206" i="1"/>
  <c r="AH208" i="1"/>
  <c r="AJ215" i="1"/>
  <c r="W217" i="1"/>
  <c r="AB217" i="1"/>
  <c r="AK217" i="1"/>
  <c r="V224" i="1"/>
  <c r="AB172" i="1"/>
  <c r="AH173" i="1"/>
  <c r="AB180" i="1"/>
  <c r="AH181" i="1"/>
  <c r="AB188" i="1"/>
  <c r="AH189" i="1"/>
  <c r="AB196" i="1"/>
  <c r="AH197" i="1"/>
  <c r="AB204" i="1"/>
  <c r="AH205" i="1"/>
  <c r="AB212" i="1"/>
  <c r="AH213" i="1"/>
  <c r="AB220" i="1"/>
  <c r="AH221" i="1"/>
  <c r="AH170" i="1"/>
  <c r="V170" i="1"/>
  <c r="V172" i="1"/>
  <c r="V173" i="1"/>
  <c r="AH178" i="1"/>
  <c r="V178" i="1"/>
  <c r="V180" i="1"/>
  <c r="V181" i="1"/>
  <c r="AH186" i="1"/>
  <c r="V186" i="1"/>
  <c r="V188" i="1"/>
  <c r="V189" i="1"/>
  <c r="AH194" i="1"/>
  <c r="V194" i="1"/>
  <c r="V196" i="1"/>
  <c r="V197" i="1"/>
  <c r="AH202" i="1"/>
  <c r="V202" i="1"/>
  <c r="V204" i="1"/>
  <c r="V205" i="1"/>
  <c r="AH210" i="1"/>
  <c r="V210" i="1"/>
  <c r="V212" i="1"/>
  <c r="V213" i="1"/>
  <c r="AH218" i="1"/>
  <c r="V218" i="1"/>
  <c r="V220" i="1"/>
  <c r="V221" i="1"/>
  <c r="AG1" i="1"/>
  <c r="AJ218" i="1" l="1"/>
  <c r="AK218" i="1"/>
  <c r="AJ210" i="1"/>
  <c r="AK210" i="1"/>
  <c r="AJ202" i="1"/>
  <c r="AK202" i="1"/>
  <c r="AJ194" i="1"/>
  <c r="AK194" i="1"/>
  <c r="AJ186" i="1"/>
  <c r="AK186" i="1"/>
  <c r="AJ178" i="1"/>
  <c r="AK178" i="1"/>
  <c r="AJ170" i="1"/>
  <c r="AK170" i="1"/>
  <c r="AK208" i="1"/>
  <c r="AJ208" i="1"/>
  <c r="AK192" i="1"/>
  <c r="AJ192" i="1"/>
  <c r="AK176" i="1"/>
  <c r="AJ176" i="1"/>
  <c r="AK224" i="1"/>
  <c r="AJ224" i="1"/>
  <c r="AK214" i="1"/>
  <c r="AJ214" i="1"/>
  <c r="AK198" i="1"/>
  <c r="AJ198" i="1"/>
  <c r="AK164" i="1"/>
  <c r="AJ164" i="1"/>
  <c r="AK148" i="1"/>
  <c r="AJ148" i="1"/>
  <c r="AJ72" i="1"/>
  <c r="AK72" i="1"/>
  <c r="AK93" i="1"/>
  <c r="AJ93" i="1"/>
  <c r="AJ100" i="1"/>
  <c r="AK100" i="1"/>
  <c r="AJ84" i="1"/>
  <c r="AK84" i="1"/>
  <c r="AJ68" i="1"/>
  <c r="AK68" i="1"/>
  <c r="AJ9" i="1"/>
  <c r="AK9" i="1"/>
  <c r="AJ32" i="1"/>
  <c r="AK32" i="1"/>
  <c r="AJ8" i="1"/>
  <c r="AK8" i="1"/>
  <c r="AJ35" i="1"/>
  <c r="AK35" i="1"/>
  <c r="AK7" i="1"/>
  <c r="AJ7" i="1"/>
  <c r="AK182" i="1"/>
  <c r="AJ182" i="1"/>
  <c r="AJ44" i="1"/>
  <c r="AK44" i="1"/>
  <c r="AJ16" i="1"/>
  <c r="AK16" i="1"/>
  <c r="AK156" i="1"/>
  <c r="AJ156" i="1"/>
  <c r="AJ221" i="1"/>
  <c r="AK221" i="1"/>
  <c r="AJ205" i="1"/>
  <c r="AK205" i="1"/>
  <c r="AJ189" i="1"/>
  <c r="AK189" i="1"/>
  <c r="AJ173" i="1"/>
  <c r="AK173" i="1"/>
  <c r="AJ161" i="1"/>
  <c r="AK161" i="1"/>
  <c r="AK162" i="1"/>
  <c r="AJ162" i="1"/>
  <c r="AK146" i="1"/>
  <c r="AJ146" i="1"/>
  <c r="AJ96" i="1"/>
  <c r="AK96" i="1"/>
  <c r="AJ64" i="1"/>
  <c r="AK64" i="1"/>
  <c r="AK101" i="1"/>
  <c r="AJ101" i="1"/>
  <c r="AK69" i="1"/>
  <c r="AJ69" i="1"/>
  <c r="AK25" i="1"/>
  <c r="AJ25" i="1"/>
  <c r="AJ40" i="1"/>
  <c r="AK40" i="1"/>
  <c r="AJ59" i="1"/>
  <c r="AK59" i="1"/>
  <c r="AJ51" i="1"/>
  <c r="AK51" i="1"/>
  <c r="AK43" i="1"/>
  <c r="AJ43" i="1"/>
  <c r="AK31" i="1"/>
  <c r="AJ31" i="1"/>
  <c r="AK23" i="1"/>
  <c r="AJ23" i="1"/>
  <c r="AK15" i="1"/>
  <c r="AJ15" i="1"/>
  <c r="AK3" i="1"/>
  <c r="AJ3" i="1"/>
  <c r="AK81" i="1"/>
  <c r="AJ81" i="1"/>
  <c r="AJ60" i="1"/>
  <c r="AK60" i="1"/>
  <c r="AJ36" i="1"/>
  <c r="AK36" i="1"/>
  <c r="AK158" i="1"/>
  <c r="AJ158" i="1"/>
  <c r="AJ88" i="1"/>
  <c r="AK88" i="1"/>
  <c r="AJ150" i="1"/>
  <c r="AK150" i="1"/>
  <c r="AK77" i="1"/>
  <c r="AJ77" i="1"/>
  <c r="AJ61" i="1"/>
  <c r="AK61" i="1"/>
  <c r="AJ92" i="1"/>
  <c r="AK92" i="1"/>
  <c r="AJ76" i="1"/>
  <c r="AK76" i="1"/>
  <c r="AJ13" i="1"/>
  <c r="AK13" i="1"/>
  <c r="AJ5" i="1"/>
  <c r="AK5" i="1"/>
  <c r="AJ157" i="1"/>
  <c r="AK157" i="1"/>
  <c r="AK97" i="1"/>
  <c r="AJ97" i="1"/>
  <c r="AK39" i="1"/>
  <c r="AJ39" i="1"/>
  <c r="AK89" i="1"/>
  <c r="AJ89" i="1"/>
  <c r="AK62" i="1"/>
  <c r="AJ62" i="1"/>
  <c r="AJ28" i="1"/>
  <c r="AK28" i="1"/>
  <c r="AJ24" i="1"/>
  <c r="AK24" i="1"/>
  <c r="AJ20" i="1"/>
  <c r="AK20" i="1"/>
  <c r="AJ12" i="1"/>
  <c r="AK12" i="1"/>
  <c r="AK200" i="1"/>
  <c r="AJ200" i="1"/>
  <c r="AJ213" i="1"/>
  <c r="AK213" i="1"/>
  <c r="AJ197" i="1"/>
  <c r="AK197" i="1"/>
  <c r="AJ181" i="1"/>
  <c r="AK181" i="1"/>
  <c r="AK206" i="1"/>
  <c r="AJ206" i="1"/>
  <c r="AK190" i="1"/>
  <c r="AJ190" i="1"/>
  <c r="AK174" i="1"/>
  <c r="AJ174" i="1"/>
  <c r="AJ153" i="1"/>
  <c r="AK153" i="1"/>
  <c r="AK222" i="1"/>
  <c r="AJ222" i="1"/>
  <c r="AK154" i="1"/>
  <c r="AJ154" i="1"/>
  <c r="AJ144" i="1"/>
  <c r="AK144" i="1"/>
  <c r="AJ140" i="1"/>
  <c r="AK140" i="1"/>
  <c r="AJ136" i="1"/>
  <c r="AK136" i="1"/>
  <c r="AJ132" i="1"/>
  <c r="AK132" i="1"/>
  <c r="AJ128" i="1"/>
  <c r="AK128" i="1"/>
  <c r="AJ124" i="1"/>
  <c r="AK124" i="1"/>
  <c r="AJ120" i="1"/>
  <c r="AK120" i="1"/>
  <c r="AJ116" i="1"/>
  <c r="AK116" i="1"/>
  <c r="AJ112" i="1"/>
  <c r="AK112" i="1"/>
  <c r="AJ108" i="1"/>
  <c r="AK108" i="1"/>
  <c r="AJ104" i="1"/>
  <c r="AK104" i="1"/>
  <c r="AJ80" i="1"/>
  <c r="AK80" i="1"/>
  <c r="AK85" i="1"/>
  <c r="AJ85" i="1"/>
  <c r="AK216" i="1"/>
  <c r="AJ216" i="1"/>
  <c r="AJ166" i="1"/>
  <c r="AK166" i="1"/>
  <c r="AK57" i="1"/>
  <c r="AJ57" i="1"/>
  <c r="AJ29" i="1"/>
  <c r="AK29" i="1"/>
  <c r="AK21" i="1"/>
  <c r="AJ21" i="1"/>
  <c r="AJ209" i="1"/>
  <c r="AK209" i="1"/>
  <c r="AJ4" i="1"/>
  <c r="AK4" i="1"/>
  <c r="AK91" i="1"/>
  <c r="AJ91" i="1"/>
  <c r="AK65" i="1"/>
  <c r="AJ65" i="1"/>
  <c r="AJ55" i="1"/>
  <c r="AK55" i="1"/>
  <c r="AK47" i="1"/>
  <c r="AJ47" i="1"/>
  <c r="AK27" i="1"/>
  <c r="AJ27" i="1"/>
  <c r="AK19" i="1"/>
  <c r="AJ19" i="1"/>
  <c r="AK11" i="1"/>
  <c r="AJ11" i="1"/>
  <c r="AJ56" i="1"/>
  <c r="AK56" i="1"/>
  <c r="AJ52" i="1"/>
  <c r="AK52" i="1"/>
  <c r="AJ48" i="1"/>
  <c r="AK48" i="1"/>
  <c r="AK73" i="1"/>
  <c r="AJ73" i="1"/>
  <c r="H1" i="1"/>
  <c r="AL1" i="1" l="1"/>
  <c r="AK1" i="1"/>
  <c r="AI1" i="1"/>
  <c r="AH1" i="1"/>
  <c r="AF1" i="1"/>
  <c r="X1" i="1"/>
  <c r="W1" i="1"/>
  <c r="U1" i="1"/>
  <c r="T1" i="1"/>
  <c r="S1" i="1"/>
  <c r="R1" i="1"/>
  <c r="Q1" i="1"/>
  <c r="P1" i="1"/>
  <c r="O1" i="1"/>
  <c r="N1" i="1"/>
  <c r="M1" i="1"/>
  <c r="L1" i="1"/>
  <c r="K1" i="1"/>
  <c r="J1" i="1"/>
  <c r="I1" i="1"/>
  <c r="V1" i="1" l="1"/>
</calcChain>
</file>

<file path=xl/sharedStrings.xml><?xml version="1.0" encoding="utf-8"?>
<sst xmlns="http://schemas.openxmlformats.org/spreadsheetml/2006/main" count="3138" uniqueCount="314">
  <si>
    <t>No CONTRATO</t>
  </si>
  <si>
    <t>AÑO</t>
  </si>
  <si>
    <t>INSTITUTO</t>
  </si>
  <si>
    <t>HOSPITAL</t>
  </si>
  <si>
    <t>CLAVE</t>
  </si>
  <si>
    <t>PRODUCTO</t>
  </si>
  <si>
    <t>ENE</t>
  </si>
  <si>
    <t>ACUMULADO</t>
  </si>
  <si>
    <t>ASIGNADO</t>
  </si>
  <si>
    <t>% AVANCE</t>
  </si>
  <si>
    <t>$ CONTRATO</t>
  </si>
  <si>
    <t>LABORATORIO</t>
  </si>
  <si>
    <t>P UNITARIO</t>
  </si>
  <si>
    <t>No EVENTO</t>
  </si>
  <si>
    <t>DIFERENCIA</t>
  </si>
  <si>
    <t>EMPRESA</t>
  </si>
  <si>
    <t>Total general</t>
  </si>
  <si>
    <t>Datos</t>
  </si>
  <si>
    <t xml:space="preserve"> ENERO</t>
  </si>
  <si>
    <t xml:space="preserve"> % ALC</t>
  </si>
  <si>
    <t>-</t>
  </si>
  <si>
    <t>FECHA INICIO CONTRATO</t>
  </si>
  <si>
    <t>FECHA FINAL CONTRATO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</si>
  <si>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</si>
  <si>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</si>
  <si>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</si>
  <si>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</si>
  <si>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</si>
  <si>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</si>
  <si>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</si>
  <si>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</si>
  <si>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</si>
  <si>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</si>
  <si>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</si>
  <si>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ISSEMYM</t>
  </si>
  <si>
    <t>HC CENTRO ONCOLOGICO</t>
  </si>
  <si>
    <t>$ IMPORTE SURTIDO</t>
  </si>
  <si>
    <t>(Todas)</t>
  </si>
  <si>
    <t xml:space="preserve"> FEBRERO</t>
  </si>
  <si>
    <t>EDO. DE MEX.</t>
  </si>
  <si>
    <t xml:space="preserve"> MARZO</t>
  </si>
  <si>
    <t xml:space="preserve"> ABRIL</t>
  </si>
  <si>
    <t xml:space="preserve"> MAYO</t>
  </si>
  <si>
    <t xml:space="preserve"> JUNIO</t>
  </si>
  <si>
    <t>CLIENTE</t>
  </si>
  <si>
    <t xml:space="preserve"> JULIO</t>
  </si>
  <si>
    <t xml:space="preserve"> AGOSTO</t>
  </si>
  <si>
    <t>ACUMULADO GENERAL</t>
  </si>
  <si>
    <t>ASIGNADO TOTAL</t>
  </si>
  <si>
    <t>ESTADO</t>
  </si>
  <si>
    <t xml:space="preserve"> ASIGNADO TOTAL</t>
  </si>
  <si>
    <t xml:space="preserve"> ACUMULADO GENERAL</t>
  </si>
  <si>
    <t xml:space="preserve"> SEPTIEMBRE</t>
  </si>
  <si>
    <t>Total ISSEMYM</t>
  </si>
  <si>
    <t xml:space="preserve"> OCTUBRE</t>
  </si>
  <si>
    <t xml:space="preserve"> NOVIEMBRE</t>
  </si>
  <si>
    <t xml:space="preserve"> DICIEMBRE</t>
  </si>
  <si>
    <t>GRUPO FARMACOS ESPECIALIZADOS SA DE CV</t>
  </si>
  <si>
    <t>TIPO LICITACION</t>
  </si>
  <si>
    <t>LICITACION</t>
  </si>
  <si>
    <t xml:space="preserve"> 2015</t>
  </si>
  <si>
    <t>ASIGNACION ISSEMYM</t>
  </si>
  <si>
    <t>CLP066/083/2016</t>
  </si>
  <si>
    <t>LPN/ISSEMYM/066/2016</t>
  </si>
  <si>
    <t>SOLUGLOB</t>
  </si>
  <si>
    <t>OTROS GOB.</t>
  </si>
  <si>
    <t>SSEP-LPN-001-016/2016</t>
  </si>
  <si>
    <t>SECRETARIA DE SALUD EN PUEBLA</t>
  </si>
  <si>
    <t xml:space="preserve"> LPN 001 2016</t>
  </si>
  <si>
    <t>PEMEX</t>
  </si>
  <si>
    <t>PEMEX CENTRO DE DISTRIBUCION</t>
  </si>
  <si>
    <t>SEDENA</t>
  </si>
  <si>
    <t>DISTRITO FEDERAL</t>
  </si>
  <si>
    <t>PUEBLA</t>
  </si>
  <si>
    <t>CHIHUAHUA</t>
  </si>
  <si>
    <t>Total PEMEX</t>
  </si>
  <si>
    <t>Total SECRETARIA DE SALUD EN PUEBLA</t>
  </si>
  <si>
    <t>Total SEDENA</t>
  </si>
  <si>
    <t xml:space="preserve"> 2016</t>
  </si>
  <si>
    <t>SSEP-ADJ-006/2017</t>
  </si>
  <si>
    <t>ADJ-13-03-2017</t>
  </si>
  <si>
    <t>QUERETARO</t>
  </si>
  <si>
    <t>COTIZACION</t>
  </si>
  <si>
    <t>ALMACENES GENERALES DE SANIDAD</t>
  </si>
  <si>
    <t>ENTREG. HOSP.</t>
  </si>
  <si>
    <t>DESCENTRALIZADOS</t>
  </si>
  <si>
    <t>EVENTO</t>
  </si>
  <si>
    <t>ISSSTEP PUEBLA</t>
  </si>
  <si>
    <t>LPN-GESFAL 042-300-2017</t>
  </si>
  <si>
    <t>Total ISSSTEP PUEBLA</t>
  </si>
  <si>
    <t>SSEP-GESFAL 042-300-013/2017</t>
  </si>
  <si>
    <t>YUCATAN</t>
  </si>
  <si>
    <t>ISSSTEP-RM-031/2017</t>
  </si>
  <si>
    <t>GESFAL-043-257/2017</t>
  </si>
  <si>
    <t>CLP021/044/2017</t>
  </si>
  <si>
    <t>LPN/ISSEMYM/021/2017</t>
  </si>
  <si>
    <t>HOSPITAL CENTRAL MILITAR</t>
  </si>
  <si>
    <t>INSTITUTO DE PENSIONES DEL ESTADO DE JALISCO</t>
  </si>
  <si>
    <t>IPEJAL UNIMEF PILA SECA</t>
  </si>
  <si>
    <t>JALISCO</t>
  </si>
  <si>
    <t>PENSIONES CIVILES DEL ESTADO DE CHIHUAHUA</t>
  </si>
  <si>
    <t>Total INSTITUTO DE PENSIONES DEL ESTADO DE JALISCO</t>
  </si>
  <si>
    <t>Total PENSIONES CIVILES DEL ESTADO DE CHIHUAHUA</t>
  </si>
  <si>
    <t>CR CUAUTITLAN IZCALLI</t>
  </si>
  <si>
    <t>HR ATLACOMULCO</t>
  </si>
  <si>
    <t>HR NEZAHUALCOYOTL</t>
  </si>
  <si>
    <t>HR TENANCINGO</t>
  </si>
  <si>
    <t>HR TEXCOCO</t>
  </si>
  <si>
    <t>HR TOLUCA</t>
  </si>
  <si>
    <t>HR VALLE DE BRAVO</t>
  </si>
  <si>
    <t>HR VALLE DE CHALCO SOLIDARIDAD</t>
  </si>
  <si>
    <t>HR ZUMPANGO</t>
  </si>
  <si>
    <t>PPS TLALNEPANTLA</t>
  </si>
  <si>
    <t>SINALOA</t>
  </si>
  <si>
    <t>HOSPITAL MILITAR DE ESPECIALIDADES DE LA MUJER Y NEONATOLOGIA</t>
  </si>
  <si>
    <t>UNIDAD DE ESPECIALIDADES</t>
  </si>
  <si>
    <t>OAXACA</t>
  </si>
  <si>
    <t>SONORA</t>
  </si>
  <si>
    <t>TAMAULIPAS</t>
  </si>
  <si>
    <t>VERACRUZ</t>
  </si>
  <si>
    <t>ISSSTE FOLIOS</t>
  </si>
  <si>
    <t>HOSPITAL REGIONAL PRESIDENTE BENITO JUAREZ OAXACA</t>
  </si>
  <si>
    <t>ISSSTESON    HERMOSILLO</t>
  </si>
  <si>
    <t>SERVICIOS DE SALUD DE VERACRUZ</t>
  </si>
  <si>
    <t>LPI-103T00000-001-17</t>
  </si>
  <si>
    <t>PEMEX D.F. SUR</t>
  </si>
  <si>
    <t>DN-10 SASM-095/S/2017</t>
  </si>
  <si>
    <t>LPI-LA-007000999-E426-2016</t>
  </si>
  <si>
    <t>4400000484/2016</t>
  </si>
  <si>
    <t>CENTRO DE MEZCLAS 2016-2018</t>
  </si>
  <si>
    <t>Total HOSPITAL REGIONAL PRESIDENTE BENITO JUAREZ OAXACA</t>
  </si>
  <si>
    <t>Total ISSSTESON    HERMOSILLO</t>
  </si>
  <si>
    <t>Total SERVICIOS DE SALUD DE VERACRUZ</t>
  </si>
  <si>
    <t>CCE LAS PIRAMIDES</t>
  </si>
  <si>
    <t>CCE VALLE DE BRAVO</t>
  </si>
  <si>
    <t>Cotizacion 497 130317</t>
  </si>
  <si>
    <t>L02/2017/10</t>
  </si>
  <si>
    <t>OPD HOSPITAL CIVIL DE GUADALAJARA</t>
  </si>
  <si>
    <t>LPN 02/2017</t>
  </si>
  <si>
    <t>L19/2017/13</t>
  </si>
  <si>
    <t>LPN 19/2017</t>
  </si>
  <si>
    <t>OPD HOSPITAL CIVIL DE GUADALAJARA ANTIGUO</t>
  </si>
  <si>
    <t>L13/2017/12</t>
  </si>
  <si>
    <t>LPN No. 13/2017</t>
  </si>
  <si>
    <t>OPD HOSPITAL CIVIL DE GUADALAJARA NUEVO</t>
  </si>
  <si>
    <t>PEMEX  CD. MADERO</t>
  </si>
  <si>
    <t>PEMEX D.F. NORTE</t>
  </si>
  <si>
    <t>Total OPD HOSPITAL CIVIL DE GUADALAJARA</t>
  </si>
  <si>
    <t>SERVICIOS DE SALUD DE CHIHUAHUA</t>
  </si>
  <si>
    <t>SERVICIOS DE SALUD QUERETARO</t>
  </si>
  <si>
    <t>Cotizacion 189 010217</t>
  </si>
  <si>
    <t>SESEQ-SA-338/17</t>
  </si>
  <si>
    <t>2124-121017</t>
  </si>
  <si>
    <t>PMX-2017-27-74</t>
  </si>
  <si>
    <t>No. 2017-27-PMX-DOPA-PC-GCSSS-SRM-CA-T-B</t>
  </si>
  <si>
    <t>DN-10 SASM-547/P(A)/2017</t>
  </si>
  <si>
    <t>Total SERVICIOS DE SALUD DE CHIHUAHUA</t>
  </si>
  <si>
    <t>Total SERVICIOS DE SALUD QUERETARO</t>
  </si>
  <si>
    <t>HOSPITAL GENERAL DEL ISSSTE QUERETARO</t>
  </si>
  <si>
    <t>ISSSTE 20 DE NOVIEMBRE</t>
  </si>
  <si>
    <t>HOSPITAL DE LA NIÑEZ OAXAQUEÑA</t>
  </si>
  <si>
    <t>IPEJAL UNIMEF FEDERALISMO</t>
  </si>
  <si>
    <t>2147-101017</t>
  </si>
  <si>
    <t>Cotizacion 345 200217</t>
  </si>
  <si>
    <t>383-240217</t>
  </si>
  <si>
    <t>ISSSTEP/799/2015</t>
  </si>
  <si>
    <t>GESFAL 140/2015</t>
  </si>
  <si>
    <t>PCE-LP-001-2017-3</t>
  </si>
  <si>
    <t>No. PCE-LP-001-2017</t>
  </si>
  <si>
    <t>SESEQ-SA-052/2017</t>
  </si>
  <si>
    <t>Cotizacion 211 020217</t>
  </si>
  <si>
    <t>COTIZACION 799-200417</t>
  </si>
  <si>
    <t>1667-210817</t>
  </si>
  <si>
    <t>2431-151117</t>
  </si>
  <si>
    <t>7DCA-SSS-HCSAE-SA-AVEP-19-10-2017</t>
  </si>
  <si>
    <t>2254-241017</t>
  </si>
  <si>
    <t>1173-140617</t>
  </si>
  <si>
    <t>1174-140617</t>
  </si>
  <si>
    <t>DN-10 SASM-583/P/A/2017</t>
  </si>
  <si>
    <t>Total HOSPITAL DE LA NIÑEZ OAXAQUEÑA</t>
  </si>
  <si>
    <t>Total HOSPITAL GENERAL DEL ISSSTE QUERETARO</t>
  </si>
  <si>
    <t>Total ISSSTE 20 DE NOVIEMBRE</t>
  </si>
  <si>
    <t>DCA-SSS-HCSAE-SA-AVEP-17-10-2017</t>
  </si>
  <si>
    <t>DN-10 SASM-255/S/A/2017</t>
  </si>
  <si>
    <t>4520002849/2017</t>
  </si>
  <si>
    <t>INSTITUTO DE ENFERMEDADES RESPIRATORIAS</t>
  </si>
  <si>
    <t>Total INSTITUTO DE ENFERMEDADES RESPIRATORIAS</t>
  </si>
  <si>
    <t>ARANESP 40 mcg / 0.4 ml 4 JGP</t>
  </si>
  <si>
    <t>AMGEN</t>
  </si>
  <si>
    <t>MIMPARA 30 mg 30 TAB</t>
  </si>
  <si>
    <t>C-150-2017</t>
  </si>
  <si>
    <t>NPLATE 250 mcg / 0.5 ml 1 FAM</t>
  </si>
  <si>
    <t>Cotizacion 409 010317</t>
  </si>
  <si>
    <t>HOSPITAL GENERAL VERACRUZ</t>
  </si>
  <si>
    <t>PROLIA 60 mg / ml 1 JGP</t>
  </si>
  <si>
    <t xml:space="preserve"> 297-140217</t>
  </si>
  <si>
    <t>1717-250817</t>
  </si>
  <si>
    <t>854-260417</t>
  </si>
  <si>
    <t>719-070417</t>
  </si>
  <si>
    <t>HOSPITAL REGIONAL MERIDA</t>
  </si>
  <si>
    <t>XGEVA 120 mg / 1.7 ml 1 FAM</t>
  </si>
  <si>
    <t>1610-150817</t>
  </si>
  <si>
    <t>CAD/HRM/502/2017</t>
  </si>
  <si>
    <t>1902-140917</t>
  </si>
  <si>
    <t>ARANESP 30 mcg / 0.3 ml 4 JGP</t>
  </si>
  <si>
    <t>488-100317</t>
  </si>
  <si>
    <t>710-060417</t>
  </si>
  <si>
    <t>756-170417</t>
  </si>
  <si>
    <t>Cotización: 910-080517</t>
  </si>
  <si>
    <t>386-240217</t>
  </si>
  <si>
    <t>820-240417</t>
  </si>
  <si>
    <t>1-0004/17</t>
  </si>
  <si>
    <t>ARANESP 300 mcg / 0.6 ml 1 JGP</t>
  </si>
  <si>
    <t>No. LA-019GYN041-E1-2017</t>
  </si>
  <si>
    <t>KYPROLIS 60 mg 1 FAM</t>
  </si>
  <si>
    <t>DIF VERACRUZ</t>
  </si>
  <si>
    <t>2149-101017</t>
  </si>
  <si>
    <t>HOSPITAL CIVIL DE CULIACAN</t>
  </si>
  <si>
    <t>937-100517</t>
  </si>
  <si>
    <t>ARANESP 60 mcg / 0.3 ml 4 JGP</t>
  </si>
  <si>
    <t>REPATHA 140 mg / ml 1 PLP</t>
  </si>
  <si>
    <t>NEULASTIM 6 mg / 0.6 ml 1 JGP</t>
  </si>
  <si>
    <t>338-200217</t>
  </si>
  <si>
    <t>1146-090617</t>
  </si>
  <si>
    <t>RM/864</t>
  </si>
  <si>
    <t>1989-250917</t>
  </si>
  <si>
    <t>RM-763</t>
  </si>
  <si>
    <t>1865-120917</t>
  </si>
  <si>
    <t>HOSPITAL JUAREZ DE MEXICO</t>
  </si>
  <si>
    <t>1133-080617</t>
  </si>
  <si>
    <t>1389-120717</t>
  </si>
  <si>
    <t>1775-010917</t>
  </si>
  <si>
    <t>2096-051017</t>
  </si>
  <si>
    <t>NEUPOGEN 300 mcg (30 MU) / 0.5 ml 1 JGP</t>
  </si>
  <si>
    <t>1600-160817</t>
  </si>
  <si>
    <t>738-110417</t>
  </si>
  <si>
    <t>2240-201017</t>
  </si>
  <si>
    <t>429-060317</t>
  </si>
  <si>
    <t>923-090517</t>
  </si>
  <si>
    <t>1179-140617</t>
  </si>
  <si>
    <t>2565-071217</t>
  </si>
  <si>
    <t>1777-010917</t>
  </si>
  <si>
    <t>2432-151117</t>
  </si>
  <si>
    <t>1588-100817</t>
  </si>
  <si>
    <t>REPATHA INY 140 mg / ml 1 PLP</t>
  </si>
  <si>
    <t>2533-301117</t>
  </si>
  <si>
    <t>IPEJAL UNIMEF JAVIER MINA</t>
  </si>
  <si>
    <t>1776-010917</t>
  </si>
  <si>
    <t>523-150317</t>
  </si>
  <si>
    <t>553-170317</t>
  </si>
  <si>
    <t>1949-210917</t>
  </si>
  <si>
    <t>2433-151117</t>
  </si>
  <si>
    <t>Cotizacion 202 010217</t>
  </si>
  <si>
    <t>1881-130917</t>
  </si>
  <si>
    <t>COTIZACION 981-160517</t>
  </si>
  <si>
    <t>1339-050617</t>
  </si>
  <si>
    <t>1558-070817</t>
  </si>
  <si>
    <t>1970-210917</t>
  </si>
  <si>
    <t>2506-271117</t>
  </si>
  <si>
    <t>ARANESP 500 mcg / 1 ml 1 JGA</t>
  </si>
  <si>
    <t>651-300317</t>
  </si>
  <si>
    <t>2244-231017</t>
  </si>
  <si>
    <t>2614-191217</t>
  </si>
  <si>
    <t>VECTIBIX 100 mg / 5 ml 1 FAM</t>
  </si>
  <si>
    <t>1099-050617</t>
  </si>
  <si>
    <t>DG SGA 1346/2017</t>
  </si>
  <si>
    <t>2284-261017</t>
  </si>
  <si>
    <t>2503-271117</t>
  </si>
  <si>
    <t>SOSTENIMIENTO DE OCTUBRE 26</t>
  </si>
  <si>
    <t>1833-080917</t>
  </si>
  <si>
    <t>Sostenimiento de Precios</t>
  </si>
  <si>
    <t>ARANESP 80 mcg / 0.4 ml 1 JGP</t>
  </si>
  <si>
    <t>COTIZACION 17-050117</t>
  </si>
  <si>
    <t>ALMACEN ESTATAL XALAPA</t>
  </si>
  <si>
    <t>1380-110717</t>
  </si>
  <si>
    <t>SERVICIOS DE SALUD DE YUCATAN</t>
  </si>
  <si>
    <t>SERVICIOS DE SALUD DE YUCATAN HOPSITAL O HORAN</t>
  </si>
  <si>
    <t>1622-160817</t>
  </si>
  <si>
    <t>1525-010817</t>
  </si>
  <si>
    <t>877-020517</t>
  </si>
  <si>
    <t>2599-141217</t>
  </si>
  <si>
    <t>2136-101017</t>
  </si>
  <si>
    <t>2456-171017</t>
  </si>
  <si>
    <t>HCNFAR/JGO/1299-2017</t>
  </si>
  <si>
    <t>2360-071117</t>
  </si>
  <si>
    <t>2164-111017</t>
  </si>
  <si>
    <t>2214-171017</t>
  </si>
  <si>
    <t>4520002900/2017</t>
  </si>
  <si>
    <t>4520002881/2017</t>
  </si>
  <si>
    <t>BLINCYTO 35 mcg 1 FAM</t>
  </si>
  <si>
    <t>670-030417</t>
  </si>
  <si>
    <t>Total PROLIA 60 mg / ml 1 JGP</t>
  </si>
  <si>
    <t>Total DIF VERACRUZ</t>
  </si>
  <si>
    <t>Total ARANESP 40 mcg / 0.4 ml 4 JGP</t>
  </si>
  <si>
    <t>Total ARANESP 60 mcg / 0.3 ml 4 JGP</t>
  </si>
  <si>
    <t>Total REPATHA 140 mg / ml 1 PLP</t>
  </si>
  <si>
    <t>Total HOSPITAL CIVIL DE CULIACAN</t>
  </si>
  <si>
    <t>Total NEULASTIM 6 mg / 0.6 ml 1 JGP</t>
  </si>
  <si>
    <t>Total NPLATE 250 mcg / 0.5 ml 1 FAM</t>
  </si>
  <si>
    <t>Total MIMPARA 30 mg 30 TAB</t>
  </si>
  <si>
    <t>Total HOSPITAL GENERAL VERACRUZ</t>
  </si>
  <si>
    <t>Total KYPROLIS 60 mg 1 FAM</t>
  </si>
  <si>
    <t>Total NEUPOGEN 300 mcg (30 MU) / 0.5 ml 1 JGP</t>
  </si>
  <si>
    <t>Total HOSPITAL JUAREZ DE MEXICO</t>
  </si>
  <si>
    <t>Total XGEVA 120 mg / 1.7 ml 1 FAM</t>
  </si>
  <si>
    <t>Total HOSPITAL REGIONAL MERIDA</t>
  </si>
  <si>
    <t>Total ARANESP 30 mcg / 0.3 ml 4 JGP</t>
  </si>
  <si>
    <t>Total ARANESP 300 mcg / 0.6 ml 1 JGP</t>
  </si>
  <si>
    <t>Total REPATHA INY 140 mg / ml 1 PLP</t>
  </si>
  <si>
    <t>Total ARANESP 500 mcg / 1 ml 1 JGA</t>
  </si>
  <si>
    <t>Total VECTIBIX 100 mg / 5 ml 1 FAM</t>
  </si>
  <si>
    <t>Total ARANESP 80 mcg / 0.4 ml 1 JGP</t>
  </si>
  <si>
    <t>Total BLINCYTO 35 mcg 1 FAM</t>
  </si>
  <si>
    <t>Total SERVICIOS DE SALUD DE YUCATAN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</si>
</sst>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_-* #,##0_-;\-* #,##0_-;_-* &quot;-&quot;??_-;_-@_-"/>
    <numFmt numFmtId="165" formatCode="_(&quot;$&quot;* #,##0.00_);_(&quot;$&quot;* \(#,##0.00\);_(&quot;$&quot;* &quot;-&quot;??_);_(@_)"/>
  </numFmts>
  <fonts count="14" x14ac:knownFonts="1">
    <font>
      <sz val="11"/>
      <color theme="1"/>
      <name val="Calibri"/>
      <family val="2"/>
      <scheme val="minor"/>
    </font>
    <font>
      <sz val="8"/>
      <color theme="1"/>
      <name val="Calibri"/>
      <family val="2"/>
    </font>
    <font>
      <sz val="8"/>
      <color theme="1"/>
      <name val="Calibri"/>
      <family val="2"/>
    </font>
    <font>
      <sz val="8"/>
      <color theme="1"/>
      <name val="Calibri"/>
      <family val="2"/>
    </font>
    <font>
      <sz val="8"/>
      <color theme="1"/>
      <name val="Calibri"/>
      <family val="2"/>
    </font>
    <font>
      <sz val="8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8"/>
      <name val="Arial"/>
      <family val="2"/>
    </font>
    <font>
      <sz val="11"/>
      <color theme="1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FFC000"/>
      <name val="Calibri"/>
      <family val="2"/>
      <scheme val="minor"/>
    </font>
    <font>
      <sz val="8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3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rgb="FF999999"/>
      </left>
      <right/>
      <top/>
      <bottom/>
      <diagonal/>
    </border>
    <border>
      <left/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indexed="65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49">
    <xf numFmtId="0" fontId="0" fillId="0" borderId="0"/>
    <xf numFmtId="0" fontId="7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43" fontId="9" fillId="0" borderId="0" applyFont="0" applyFill="0" applyBorder="0" applyAlignment="0" applyProtection="0"/>
    <xf numFmtId="43" fontId="6" fillId="0" borderId="0" applyFont="0" applyFill="0" applyBorder="0" applyAlignment="0" applyProtection="0"/>
    <xf numFmtId="44" fontId="9" fillId="0" borderId="0" applyFont="0" applyFill="0" applyBorder="0" applyAlignment="0" applyProtection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8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9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9" fillId="0" borderId="0" applyFont="0" applyFill="0" applyBorder="0" applyAlignment="0" applyProtection="0"/>
    <xf numFmtId="165" fontId="7" fillId="0" borderId="0" applyFont="0" applyFill="0" applyBorder="0" applyAlignment="0" applyProtection="0"/>
    <xf numFmtId="0" fontId="8" fillId="0" borderId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4" fillId="0" borderId="0"/>
    <xf numFmtId="0" fontId="7" fillId="0" borderId="0"/>
    <xf numFmtId="9" fontId="5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10" fillId="2" borderId="0" xfId="21" applyFont="1" applyFill="1" applyBorder="1" applyAlignment="1">
      <alignment horizontal="center" vertical="center"/>
    </xf>
    <xf numFmtId="44" fontId="10" fillId="3" borderId="0" xfId="5" applyFont="1" applyFill="1" applyBorder="1" applyAlignment="1">
      <alignment horizontal="center" vertical="center" wrapText="1"/>
    </xf>
    <xf numFmtId="164" fontId="10" fillId="3" borderId="0" xfId="4" applyNumberFormat="1" applyFont="1" applyFill="1" applyBorder="1" applyAlignment="1">
      <alignment horizontal="center" vertical="center" wrapText="1"/>
    </xf>
    <xf numFmtId="0" fontId="11" fillId="0" borderId="0" xfId="0" applyFont="1"/>
    <xf numFmtId="0" fontId="11" fillId="0" borderId="0" xfId="0" applyFont="1" applyAlignment="1">
      <alignment horizontal="left"/>
    </xf>
    <xf numFmtId="0" fontId="1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/>
    <xf numFmtId="9" fontId="9" fillId="0" borderId="0" xfId="36" applyFont="1"/>
    <xf numFmtId="44" fontId="9" fillId="0" borderId="0" xfId="5" applyFont="1"/>
    <xf numFmtId="41" fontId="10" fillId="3" borderId="0" xfId="3" applyNumberFormat="1" applyFont="1" applyFill="1" applyBorder="1" applyAlignment="1">
      <alignment horizontal="center" vertical="center" wrapText="1"/>
    </xf>
    <xf numFmtId="41" fontId="10" fillId="3" borderId="0" xfId="3" applyNumberFormat="1" applyFont="1" applyFill="1" applyBorder="1" applyAlignment="1">
      <alignment horizontal="center" vertical="center"/>
    </xf>
    <xf numFmtId="41" fontId="9" fillId="0" borderId="0" xfId="3" applyNumberFormat="1" applyFont="1"/>
    <xf numFmtId="41" fontId="0" fillId="0" borderId="0" xfId="0" applyNumberFormat="1"/>
    <xf numFmtId="14" fontId="0" fillId="0" borderId="0" xfId="0" applyNumberFormat="1" applyAlignment="1">
      <alignment horizontal="center"/>
    </xf>
    <xf numFmtId="0" fontId="0" fillId="0" borderId="0" xfId="0" applyFill="1" applyBorder="1"/>
    <xf numFmtId="164" fontId="10" fillId="2" borderId="0" xfId="3" applyNumberFormat="1" applyFont="1" applyFill="1" applyBorder="1" applyAlignment="1">
      <alignment horizontal="center" vertical="center"/>
    </xf>
    <xf numFmtId="9" fontId="10" fillId="3" borderId="0" xfId="39" applyFont="1" applyFill="1" applyBorder="1" applyAlignment="1">
      <alignment horizontal="center" vertical="center"/>
    </xf>
    <xf numFmtId="164" fontId="5" fillId="0" borderId="0" xfId="3" applyNumberFormat="1" applyFont="1"/>
    <xf numFmtId="0" fontId="5" fillId="0" borderId="0" xfId="0" applyFont="1" applyAlignment="1">
      <alignment horizontal="left"/>
    </xf>
    <xf numFmtId="0" fontId="5" fillId="0" borderId="0" xfId="0" applyFont="1"/>
    <xf numFmtId="0" fontId="5" fillId="0" borderId="0" xfId="0" applyFont="1" applyAlignment="1"/>
    <xf numFmtId="44" fontId="5" fillId="0" borderId="0" xfId="5" applyFont="1"/>
    <xf numFmtId="14" fontId="5" fillId="0" borderId="0" xfId="0" applyNumberFormat="1" applyFont="1" applyAlignment="1">
      <alignment horizontal="center"/>
    </xf>
    <xf numFmtId="0" fontId="10" fillId="6" borderId="0" xfId="3" applyNumberFormat="1" applyFont="1" applyFill="1" applyBorder="1" applyAlignment="1">
      <alignment horizontal="center" vertical="center" wrapText="1"/>
    </xf>
    <xf numFmtId="164" fontId="10" fillId="6" borderId="0" xfId="3" applyNumberFormat="1" applyFont="1" applyFill="1" applyBorder="1" applyAlignment="1">
      <alignment horizontal="center" vertical="center" wrapText="1"/>
    </xf>
    <xf numFmtId="164" fontId="10" fillId="6" borderId="0" xfId="4" applyNumberFormat="1" applyFont="1" applyFill="1" applyBorder="1" applyAlignment="1">
      <alignment horizontal="center" vertical="center" wrapText="1"/>
    </xf>
    <xf numFmtId="44" fontId="10" fillId="7" borderId="0" xfId="5" applyNumberFormat="1" applyFont="1" applyFill="1" applyBorder="1" applyAlignment="1">
      <alignment horizontal="center" vertical="center" wrapText="1"/>
    </xf>
    <xf numFmtId="164" fontId="5" fillId="0" borderId="0" xfId="0" applyNumberFormat="1" applyFont="1"/>
    <xf numFmtId="9" fontId="5" fillId="0" borderId="0" xfId="36" applyFont="1"/>
    <xf numFmtId="164" fontId="13" fillId="0" borderId="0" xfId="3" applyNumberFormat="1" applyFont="1" applyFill="1" applyBorder="1"/>
    <xf numFmtId="9" fontId="13" fillId="0" borderId="0" xfId="39" applyFont="1" applyFill="1" applyBorder="1"/>
    <xf numFmtId="0" fontId="5" fillId="0" borderId="13" xfId="0" applyFont="1" applyBorder="1"/>
    <xf numFmtId="0" fontId="5" fillId="0" borderId="1" xfId="0" applyFont="1" applyBorder="1"/>
    <xf numFmtId="0" fontId="5" fillId="0" borderId="2" xfId="0" applyFont="1" applyBorder="1"/>
    <xf numFmtId="0" fontId="5" fillId="0" borderId="1" xfId="0" pivotButton="1" applyFont="1" applyBorder="1"/>
    <xf numFmtId="0" fontId="5" fillId="0" borderId="3" xfId="0" applyFont="1" applyBorder="1"/>
    <xf numFmtId="9" fontId="5" fillId="0" borderId="5" xfId="0" applyNumberFormat="1" applyFont="1" applyBorder="1"/>
    <xf numFmtId="0" fontId="5" fillId="0" borderId="6" xfId="0" applyFont="1" applyBorder="1"/>
    <xf numFmtId="0" fontId="5" fillId="0" borderId="7" xfId="0" applyFont="1" applyBorder="1"/>
    <xf numFmtId="9" fontId="5" fillId="0" borderId="8" xfId="0" applyNumberFormat="1" applyFont="1" applyBorder="1"/>
    <xf numFmtId="164" fontId="5" fillId="0" borderId="1" xfId="0" applyNumberFormat="1" applyFont="1" applyBorder="1"/>
    <xf numFmtId="164" fontId="5" fillId="0" borderId="4" xfId="0" applyNumberFormat="1" applyFont="1" applyBorder="1"/>
    <xf numFmtId="164" fontId="5" fillId="0" borderId="7" xfId="0" applyNumberFormat="1" applyFont="1" applyBorder="1"/>
    <xf numFmtId="0" fontId="5" fillId="4" borderId="13" xfId="0" applyFont="1" applyFill="1" applyBorder="1"/>
    <xf numFmtId="0" fontId="5" fillId="4" borderId="1" xfId="0" applyFont="1" applyFill="1" applyBorder="1"/>
    <xf numFmtId="0" fontId="5" fillId="4" borderId="1" xfId="0" applyFont="1" applyFill="1" applyBorder="1" applyAlignment="1">
      <alignment horizontal="center" vertical="center"/>
    </xf>
    <xf numFmtId="0" fontId="12" fillId="5" borderId="4" xfId="0" applyFont="1" applyFill="1" applyBorder="1" applyAlignment="1">
      <alignment horizontal="center"/>
    </xf>
    <xf numFmtId="0" fontId="12" fillId="5" borderId="5" xfId="0" applyFont="1" applyFill="1" applyBorder="1" applyAlignment="1">
      <alignment horizontal="center"/>
    </xf>
    <xf numFmtId="164" fontId="12" fillId="5" borderId="9" xfId="0" applyNumberFormat="1" applyFont="1" applyFill="1" applyBorder="1"/>
    <xf numFmtId="164" fontId="12" fillId="5" borderId="11" xfId="0" applyNumberFormat="1" applyFont="1" applyFill="1" applyBorder="1"/>
    <xf numFmtId="9" fontId="12" fillId="5" borderId="12" xfId="0" applyNumberFormat="1" applyFont="1" applyFill="1" applyBorder="1"/>
    <xf numFmtId="0" fontId="12" fillId="5" borderId="9" xfId="0" applyFont="1" applyFill="1" applyBorder="1"/>
    <xf numFmtId="0" fontId="12" fillId="5" borderId="10" xfId="0" applyFont="1" applyFill="1" applyBorder="1"/>
    <xf numFmtId="0" fontId="5" fillId="4" borderId="1" xfId="0" applyFont="1" applyFill="1" applyBorder="1" applyAlignment="1">
      <alignment horizontal="center"/>
    </xf>
    <xf numFmtId="0" fontId="5" fillId="4" borderId="2" xfId="0" applyFont="1" applyFill="1" applyBorder="1"/>
    <xf numFmtId="164" fontId="5" fillId="4" borderId="1" xfId="0" applyNumberFormat="1" applyFont="1" applyFill="1" applyBorder="1"/>
    <xf numFmtId="164" fontId="5" fillId="4" borderId="4" xfId="0" applyNumberFormat="1" applyFont="1" applyFill="1" applyBorder="1"/>
    <xf numFmtId="9" fontId="5" fillId="4" borderId="5" xfId="0" applyNumberFormat="1" applyFont="1" applyFill="1" applyBorder="1"/>
    <xf numFmtId="0" fontId="12" fillId="5" borderId="4" xfId="0" applyFont="1" applyFill="1" applyBorder="1" applyAlignment="1">
      <alignment horizontal="center" wrapText="1"/>
    </xf>
    <xf numFmtId="0" fontId="12" fillId="5" borderId="1" xfId="0" applyFont="1" applyFill="1" applyBorder="1" applyAlignment="1">
      <alignment horizontal="center" wrapText="1"/>
    </xf>
    <xf numFmtId="0" fontId="5" fillId="8" borderId="1" xfId="0" applyFont="1" applyFill="1" applyBorder="1"/>
    <xf numFmtId="0" fontId="5" fillId="8" borderId="2" xfId="0" applyFont="1" applyFill="1" applyBorder="1"/>
    <xf numFmtId="164" fontId="5" fillId="8" borderId="1" xfId="0" applyNumberFormat="1" applyFont="1" applyFill="1" applyBorder="1"/>
    <xf numFmtId="164" fontId="5" fillId="8" borderId="4" xfId="0" applyNumberFormat="1" applyFont="1" applyFill="1" applyBorder="1"/>
    <xf numFmtId="9" fontId="5" fillId="8" borderId="5" xfId="0" applyNumberFormat="1" applyFont="1" applyFill="1" applyBorder="1"/>
    <xf numFmtId="164" fontId="13" fillId="0" borderId="0" xfId="3" applyNumberFormat="1" applyFont="1" applyFill="1"/>
    <xf numFmtId="44" fontId="13" fillId="0" borderId="0" xfId="5" applyFont="1" applyFill="1"/>
    <xf numFmtId="0" fontId="5" fillId="0" borderId="0" xfId="0" applyFont="1" applyFill="1"/>
    <xf numFmtId="164" fontId="5" fillId="0" borderId="0" xfId="3" applyNumberFormat="1" applyFont="1" applyFill="1"/>
    <xf numFmtId="44" fontId="5" fillId="0" borderId="0" xfId="5" applyFont="1" applyFill="1"/>
    <xf numFmtId="15" fontId="5" fillId="0" borderId="0" xfId="0" applyNumberFormat="1" applyFont="1" applyFill="1"/>
  </cellXfs>
  <cellStyles count="49">
    <cellStyle name="          _x000d__x000a_386grabber=VGA.3GR_x000d__x000a_" xfId="1"/>
    <cellStyle name="          _x000d__x000a_386grabber=VGA.3GR_x000d__x000a_ 7" xfId="2"/>
    <cellStyle name="Comma" xfId="3" builtinId="3"/>
    <cellStyle name="Currency" xfId="5" builtinId="4"/>
    <cellStyle name="Millares 2" xfId="4"/>
    <cellStyle name="Millares 3" xfId="45"/>
    <cellStyle name="Millares 3 2" xfId="47"/>
    <cellStyle name="Moneda 2" xfId="40"/>
    <cellStyle name="Moneda 2 2" xfId="41"/>
    <cellStyle name="Moneda 3" xfId="37"/>
    <cellStyle name="Normal" xfId="0" builtinId="0"/>
    <cellStyle name="Normal 10" xfId="6"/>
    <cellStyle name="Normal 101" xfId="7"/>
    <cellStyle name="Normal 102" xfId="8"/>
    <cellStyle name="Normal 105" xfId="9"/>
    <cellStyle name="Normal 106" xfId="10"/>
    <cellStyle name="Normal 107" xfId="11"/>
    <cellStyle name="Normal 11" xfId="12"/>
    <cellStyle name="Normal 110" xfId="13"/>
    <cellStyle name="Normal 12" xfId="14"/>
    <cellStyle name="Normal 13" xfId="15"/>
    <cellStyle name="Normal 14" xfId="16"/>
    <cellStyle name="Normal 15" xfId="17"/>
    <cellStyle name="Normal 16" xfId="18"/>
    <cellStyle name="Normal 17" xfId="19"/>
    <cellStyle name="Normal 18" xfId="20"/>
    <cellStyle name="Normal 19" xfId="42"/>
    <cellStyle name="Normal 2" xfId="21"/>
    <cellStyle name="Normal 21" xfId="38"/>
    <cellStyle name="Normal 22" xfId="22"/>
    <cellStyle name="Normal 23" xfId="23"/>
    <cellStyle name="Normal 24" xfId="24"/>
    <cellStyle name="Normal 25" xfId="25"/>
    <cellStyle name="Normal 29" xfId="26"/>
    <cellStyle name="Normal 3" xfId="27"/>
    <cellStyle name="Normal 3 2" xfId="46"/>
    <cellStyle name="Normal 4" xfId="28"/>
    <cellStyle name="Normal 40" xfId="29"/>
    <cellStyle name="Normal 48" xfId="43"/>
    <cellStyle name="Normal 5" xfId="30"/>
    <cellStyle name="Normal 6" xfId="31"/>
    <cellStyle name="Normal 7" xfId="32"/>
    <cellStyle name="Normal 8" xfId="33"/>
    <cellStyle name="Normal 9" xfId="34"/>
    <cellStyle name="Normal 99" xfId="35"/>
    <cellStyle name="Percent" xfId="36" builtinId="5"/>
    <cellStyle name="Porcentaje 2" xfId="39"/>
    <cellStyle name="Porcentaje 3" xfId="44"/>
    <cellStyle name="Porcentaje 3 2" xfId="48"/>
  </cellStyles>
  <dxfs count="49">
    <dxf>
      <font>
        <color rgb="FFFFC000"/>
      </font>
      <fill>
        <patternFill patternType="solid">
          <fgColor indexed="64"/>
          <bgColor theme="1"/>
        </patternFill>
      </fill>
      <alignment horizontal="center" readingOrder="0"/>
    </dxf>
    <dxf>
      <font>
        <color rgb="FFFFC000"/>
      </font>
      <fill>
        <patternFill patternType="solid">
          <fgColor indexed="64"/>
          <bgColor theme="1"/>
        </patternFill>
      </fill>
      <alignment horizontal="center" readingOrder="0"/>
    </dxf>
    <dxf>
      <font>
        <color rgb="FFFFC000"/>
      </font>
      <fill>
        <patternFill patternType="solid">
          <fgColor indexed="64"/>
          <bgColor theme="1"/>
        </patternFill>
      </fill>
      <alignment horizontal="center" readingOrder="0"/>
    </dxf>
    <dxf>
      <font>
        <color rgb="FFFFC000"/>
      </font>
      <fill>
        <patternFill patternType="solid">
          <fgColor indexed="64"/>
          <bgColor theme="1"/>
        </patternFill>
      </fill>
      <alignment horizontal="center" readingOrder="0"/>
    </dxf>
    <dxf>
      <font>
        <color rgb="FFFFC000"/>
      </font>
      <fill>
        <patternFill patternType="solid">
          <fgColor indexed="64"/>
          <bgColor theme="1"/>
        </patternFill>
      </fill>
      <alignment horizontal="center" readingOrder="0"/>
    </dxf>
    <dxf>
      <fill>
        <patternFill>
          <bgColor theme="3" tint="0.59999389629810485"/>
        </patternFill>
      </fill>
    </dxf>
    <dxf>
      <fill>
        <patternFill patternType="solid">
          <bgColor rgb="FFFFC000"/>
        </patternFill>
      </fill>
    </dxf>
    <dxf>
      <fill>
        <patternFill patternType="solid">
          <fgColor indexed="64"/>
          <bgColor rgb="FFFFC000"/>
        </patternFill>
      </fill>
      <alignment horizontal="center" vertical="center" readingOrder="0"/>
    </dxf>
    <dxf>
      <font>
        <color rgb="FFFFC000"/>
      </font>
      <fill>
        <patternFill patternType="solid">
          <fgColor indexed="64"/>
          <bgColor theme="1"/>
        </patternFill>
      </fill>
      <alignment horizontal="center" readingOrder="0"/>
    </dxf>
    <dxf>
      <alignment wrapText="1" readingOrder="0"/>
    </dxf>
    <dxf>
      <alignment wrapText="1" readingOrder="0"/>
    </dxf>
    <dxf>
      <font>
        <color rgb="FFFFC000"/>
      </font>
      <fill>
        <patternFill patternType="solid">
          <fgColor indexed="64"/>
          <bgColor theme="1"/>
        </patternFill>
      </fill>
      <alignment horizontal="center" readingOrder="0"/>
    </dxf>
    <dxf>
      <font>
        <color rgb="FFFFC000"/>
      </font>
      <fill>
        <patternFill patternType="solid">
          <fgColor indexed="64"/>
          <bgColor theme="1"/>
        </patternFill>
      </fill>
      <alignment horizontal="center" readingOrder="0"/>
    </dxf>
    <dxf>
      <font>
        <color rgb="FFFFC000"/>
      </font>
      <fill>
        <patternFill patternType="solid">
          <fgColor indexed="64"/>
          <bgColor theme="1"/>
        </patternFill>
      </fill>
      <alignment horizontal="center" readingOrder="0"/>
    </dxf>
    <dxf>
      <font>
        <color rgb="FFFFC000"/>
      </font>
      <fill>
        <patternFill patternType="solid">
          <fgColor indexed="64"/>
          <bgColor theme="1"/>
        </patternFill>
      </fill>
      <alignment horizontal="center" readingOrder="0"/>
    </dxf>
    <dxf>
      <font>
        <color rgb="FFFFC000"/>
      </font>
      <fill>
        <patternFill patternType="solid">
          <fgColor indexed="64"/>
          <bgColor theme="1"/>
        </patternFill>
      </fill>
      <alignment horizontal="center" readingOrder="0"/>
    </dxf>
    <dxf>
      <font>
        <color rgb="FFFFC000"/>
      </font>
      <fill>
        <patternFill patternType="solid">
          <fgColor indexed="64"/>
          <bgColor theme="1"/>
        </patternFill>
      </fill>
      <alignment horizontal="center" readingOrder="0"/>
    </dxf>
    <dxf>
      <font>
        <color rgb="FFFFC000"/>
      </font>
      <fill>
        <patternFill patternType="solid">
          <fgColor indexed="64"/>
          <bgColor theme="1"/>
        </patternFill>
      </fill>
      <alignment horizontal="center" readingOrder="0"/>
    </dxf>
    <dxf>
      <font>
        <color rgb="FFFFC000"/>
      </font>
      <fill>
        <patternFill patternType="solid">
          <fgColor indexed="64"/>
          <bgColor theme="1"/>
        </patternFill>
      </fill>
      <alignment horizontal="center" readingOrder="0"/>
    </dxf>
    <dxf>
      <font>
        <color rgb="FFFFC000"/>
      </font>
      <fill>
        <patternFill patternType="solid">
          <fgColor indexed="64"/>
          <bgColor theme="1"/>
        </patternFill>
      </fill>
      <alignment horizontal="center" readingOrder="0"/>
    </dxf>
    <dxf>
      <fill>
        <patternFill patternType="solid">
          <bgColor rgb="FFFFC000"/>
        </patternFill>
      </fill>
    </dxf>
    <dxf>
      <fill>
        <patternFill patternType="solid">
          <fgColor indexed="64"/>
          <bgColor rgb="FFFFC000"/>
        </patternFill>
      </fill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color rgb="FFFFC000"/>
      </font>
    </dxf>
    <dxf>
      <font>
        <color rgb="FFFFC000"/>
      </font>
    </dxf>
    <dxf>
      <fill>
        <patternFill patternType="solid">
          <bgColor theme="1"/>
        </patternFill>
      </fill>
    </dxf>
    <dxf>
      <fill>
        <patternFill patternType="solid">
          <bgColor theme="1"/>
        </patternFill>
      </fill>
    </dxf>
    <dxf>
      <fill>
        <patternFill patternType="solid">
          <bgColor rgb="FFFFC000"/>
        </patternFill>
      </fill>
    </dxf>
    <dxf>
      <font>
        <color rgb="FFFFC000"/>
      </font>
      <fill>
        <patternFill patternType="solid">
          <fgColor indexed="64"/>
          <bgColor theme="1"/>
        </patternFill>
      </fill>
      <alignment horizontal="center" readingOrder="0"/>
    </dxf>
    <dxf>
      <font>
        <color rgb="FFFFC000"/>
      </font>
      <fill>
        <patternFill patternType="solid">
          <fgColor indexed="64"/>
          <bgColor theme="1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fill>
        <patternFill patternType="solid">
          <bgColor rgb="FFFFC000"/>
        </patternFill>
      </fill>
    </dxf>
    <dxf>
      <numFmt numFmtId="13" formatCode="0%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164" formatCode="_-* #,##0_-;\-* #,##0_-;_-* &quot;-&quot;??_-;_-@_-"/>
    </dxf>
    <dxf>
      <font>
        <sz val="8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OPEZ PEREZ EMMANUEL" refreshedDate="43109.603217939817" missingItemsLimit="0" createdVersion="5" refreshedVersion="5" minRefreshableVersion="3" recordCount="222">
  <cacheSource type="worksheet">
    <worksheetSource ref="A2:AM224" sheet="Base"/>
  </cacheSource>
  <cacheFields count="40">
    <cacheField name="No CONTRATO" numFmtId="0">
      <sharedItems containsMixedTypes="1" containsNumber="1" containsInteger="1" minValue="59" maxValue="18662994" count="104">
        <s v="CLP021/044/2017"/>
        <s v="CLP066/083/2016"/>
        <s v="C-150-2017"/>
        <n v="51693"/>
        <n v="1717"/>
        <n v="52879"/>
        <n v="52701"/>
        <n v="53835"/>
        <s v="CAD/HRM/502/2017"/>
        <n v="52292"/>
        <n v="52327"/>
        <n v="52696"/>
        <n v="52771"/>
        <n v="52963"/>
        <n v="52091"/>
        <n v="52905"/>
        <s v="1-0004/17"/>
        <n v="54551"/>
        <n v="53011"/>
        <n v="51987"/>
        <n v="53314"/>
        <s v="RM/864"/>
        <s v="RM-763"/>
        <n v="53286"/>
        <n v="53563"/>
        <n v="54040"/>
        <n v="54397"/>
        <n v="53834"/>
        <n v="52721"/>
        <n v="1050"/>
        <n v="52220"/>
        <n v="53023"/>
        <n v="53336"/>
        <n v="55312"/>
        <n v="894"/>
        <n v="1152"/>
        <n v="52181"/>
        <n v="53828"/>
        <n v="55313"/>
        <n v="1209"/>
        <n v="1017"/>
        <n v="1176"/>
        <n v="52361"/>
        <n v="52420"/>
        <n v="970"/>
        <n v="1154"/>
        <n v="51482"/>
        <n v="54152"/>
        <n v="53071"/>
        <n v="53522"/>
        <n v="53782"/>
        <n v="51996"/>
        <n v="960"/>
        <n v="1197"/>
        <n v="1211"/>
        <s v="ISSSTEP/799/2015"/>
        <s v="ISSSTEP-RM-031/2017"/>
        <n v="52568"/>
        <s v="L02/2017/10"/>
        <n v="54585"/>
        <n v="55259"/>
        <s v="L19/2017/13"/>
        <n v="53249"/>
        <s v="L13/2017/12"/>
        <s v="DG SGA 1346/2017"/>
        <s v="PCE-LP-001-2017-3"/>
        <n v="184026"/>
        <n v="54689"/>
        <n v="183915"/>
        <n v="54310"/>
        <s v="SSEP-ADJ-006/2017"/>
        <s v="SSEP-GESFAL 042-300-013/2017"/>
        <s v="SSEP-LPN-001-016/2016"/>
        <n v="50938"/>
        <n v="53547"/>
        <n v="59"/>
        <n v="53851"/>
        <n v="1525"/>
        <n v="51608"/>
        <s v="SESEQ-SA-052/2017"/>
        <s v="SESEQ-SA-338/17"/>
        <n v="52825"/>
        <n v="52933"/>
        <n v="1667"/>
        <n v="55197"/>
        <n v="18562466"/>
        <n v="18619197"/>
        <n v="18619784"/>
        <n v="18662994"/>
        <s v="PMX-2017-27-74"/>
        <s v="HCNFAR/JGO/1299-2017"/>
        <s v="7DCA-SSS-HCSAE-SA-AVEP-19-10-2017"/>
        <s v="DCA-SSS-HCSAE-SA-AVEP-17-10-2017"/>
        <s v="DN-10 SASM-095/S/2017"/>
        <s v="DN-10 SASM-583/P/A/2017"/>
        <s v="DN-10 SASM-547/P(A)/2017"/>
        <s v="DN-10 SASM-255/S/A/2017"/>
        <s v="4520002849/2017"/>
        <s v="4520002900/2017"/>
        <n v="53343"/>
        <s v="4400000484/2016"/>
        <n v="53344"/>
        <s v="4520002881/2017"/>
        <n v="52642"/>
      </sharedItems>
    </cacheField>
    <cacheField name="AÑO" numFmtId="0">
      <sharedItems containsSemiMixedTypes="0" containsString="0" containsNumber="1" containsInteger="1" minValue="2017" maxValue="2017"/>
    </cacheField>
    <cacheField name="INSTITUTO" numFmtId="0">
      <sharedItems count="5">
        <s v="ISSEMYM"/>
        <s v="ISSSTE FOLIOS"/>
        <s v="OTROS GOB."/>
        <s v="PEMEX"/>
        <s v="SEDENA"/>
      </sharedItems>
    </cacheField>
    <cacheField name="CLIENTE" numFmtId="0">
      <sharedItems count="23">
        <s v="ISSEMYM"/>
        <s v="HOSPITAL GENERAL DEL ISSSTE QUERETARO"/>
        <s v="HOSPITAL GENERAL VERACRUZ"/>
        <s v="HOSPITAL REGIONAL MERIDA"/>
        <s v="HOSPITAL REGIONAL PRESIDENTE BENITO JUAREZ OAXACA"/>
        <s v="ISSSTE 20 DE NOVIEMBRE"/>
        <s v="DIF VERACRUZ"/>
        <s v="HOSPITAL CIVIL DE CULIACAN"/>
        <s v="HOSPITAL DE LA NIÑEZ OAXAQUEÑA"/>
        <s v="HOSPITAL JUAREZ DE MEXICO"/>
        <s v="INSTITUTO DE ENFERMEDADES RESPIRATORIAS"/>
        <s v="INSTITUTO DE PENSIONES DEL ESTADO DE JALISCO"/>
        <s v="ISSSTEP PUEBLA"/>
        <s v="ISSSTESON    HERMOSILLO"/>
        <s v="OPD HOSPITAL CIVIL DE GUADALAJARA"/>
        <s v="PENSIONES CIVILES DEL ESTADO DE CHIHUAHUA"/>
        <s v="SECRETARIA DE SALUD EN PUEBLA"/>
        <s v="SERVICIOS DE SALUD DE CHIHUAHUA"/>
        <s v="SERVICIOS DE SALUD DE VERACRUZ"/>
        <s v="SERVICIOS DE SALUD DE YUCATAN"/>
        <s v="SERVICIOS DE SALUD QUERETARO"/>
        <s v="PEMEX"/>
        <s v="SEDENA"/>
      </sharedItems>
    </cacheField>
    <cacheField name="HOSPITAL" numFmtId="0">
      <sharedItems count="49">
        <s v="ASIGNACION ISSEMYM"/>
        <s v="CCE LAS PIRAMIDES"/>
        <s v="CCE VALLE DE BRAVO"/>
        <s v="CR CUAUTITLAN IZCALLI"/>
        <s v="HC CENTRO ONCOLOGICO"/>
        <s v="HR ATLACOMULCO"/>
        <s v="HR NEZAHUALCOYOTL"/>
        <s v="HR TENANCINGO"/>
        <s v="HR TEXCOCO"/>
        <s v="HR TOLUCA"/>
        <s v="HR VALLE DE BRAVO"/>
        <s v="HR VALLE DE CHALCO SOLIDARIDAD"/>
        <s v="HR ZUMPANGO"/>
        <s v="PPS TLALNEPANTLA"/>
        <s v="SOLUGLOB"/>
        <s v="HOSPITAL GENERAL DEL ISSSTE QUERETARO"/>
        <s v="HOSPITAL GENERAL VERACRUZ"/>
        <s v="HOSPITAL REGIONAL MERIDA"/>
        <s v="HOSPITAL REGIONAL PRESIDENTE BENITO JUAREZ OAXACA"/>
        <s v="ISSSTE 20 DE NOVIEMBRE"/>
        <s v="DIF VERACRUZ"/>
        <s v="HOSPITAL CIVIL DE CULIACAN"/>
        <s v="HOSPITAL DE LA NIÑEZ OAXAQUEÑA"/>
        <s v="HOSPITAL JUAREZ DE MEXICO"/>
        <s v="INSTITUTO DE ENFERMEDADES RESPIRATORIAS"/>
        <s v="IPEJAL UNIMEF FEDERALISMO"/>
        <s v="IPEJAL UNIMEF JAVIER MINA"/>
        <s v="IPEJAL UNIMEF PILA SECA"/>
        <s v="ISSSTEP PUEBLA"/>
        <s v="ISSSTESON    HERMOSILLO"/>
        <s v="OPD HOSPITAL CIVIL DE GUADALAJARA"/>
        <s v="OPD HOSPITAL CIVIL DE GUADALAJARA ANTIGUO"/>
        <s v="OPD HOSPITAL CIVIL DE GUADALAJARA NUEVO"/>
        <s v="PENSIONES CIVILES DEL ESTADO DE CHIHUAHUA"/>
        <s v="SECRETARIA DE SALUD EN PUEBLA"/>
        <s v="SERVICIOS DE SALUD DE CHIHUAHUA"/>
        <s v="ALMACEN ESTATAL XALAPA"/>
        <s v="SERVICIOS DE SALUD DE VERACRUZ"/>
        <s v="SERVICIOS DE SALUD DE YUCATAN HOPSITAL O HORAN"/>
        <s v="SERVICIOS DE SALUD QUERETARO"/>
        <s v="PEMEX  CD. MADERO"/>
        <s v="PEMEX CENTRO DE DISTRIBUCION"/>
        <s v="PEMEX D.F. NORTE"/>
        <s v="PEMEX D.F. SUR"/>
        <s v="ALMACENES GENERALES DE SANIDAD"/>
        <s v="HOSPITAL CENTRAL MILITAR"/>
        <s v="HOSPITAL MILITAR DE ESPECIALIDADES DE LA MUJER Y NEONATOLOGIA"/>
        <s v="SEDENA"/>
        <s v="UNIDAD DE ESPECIALIDADES"/>
      </sharedItems>
    </cacheField>
    <cacheField name="CLAVE" numFmtId="0">
      <sharedItems containsMixedTypes="1" containsNumber="1" containsInteger="1" minValue="5452" maxValue="6096" count="15">
        <n v="5627"/>
        <n v="5835"/>
        <n v="5624"/>
        <n v="5613"/>
        <n v="6013"/>
        <n v="5626"/>
        <n v="5632"/>
        <n v="6086"/>
        <n v="5628"/>
        <n v="6089"/>
        <n v="5452"/>
        <s v="-"/>
        <n v="5633"/>
        <n v="5653"/>
        <n v="6096"/>
      </sharedItems>
    </cacheField>
    <cacheField name="PRODUCTO" numFmtId="0">
      <sharedItems count="17">
        <s v="ARANESP 40 mcg / 0.4 ml 4 JGP"/>
        <s v="MIMPARA 30 mg 30 TAB"/>
        <s v="NPLATE 250 mcg / 0.5 ml 1 FAM"/>
        <s v="PROLIA 60 mg / ml 1 JGP"/>
        <s v="XGEVA 120 mg / 1.7 ml 1 FAM"/>
        <s v="ARANESP 30 mcg / 0.3 ml 4 JGP"/>
        <s v="ARANESP 300 mcg / 0.6 ml 1 JGP"/>
        <s v="KYPROLIS 60 mg 1 FAM"/>
        <s v="ARANESP 60 mcg / 0.3 ml 4 JGP"/>
        <s v="REPATHA 140 mg / ml 1 PLP"/>
        <s v="NEULASTIM 6 mg / 0.6 ml 1 JGP"/>
        <s v="NEUPOGEN 300 mcg (30 MU) / 0.5 ml 1 JGP"/>
        <s v="REPATHA INY 140 mg / ml 1 PLP"/>
        <s v="ARANESP 500 mcg / 1 ml 1 JGA"/>
        <s v="VECTIBIX 100 mg / 5 ml 1 FAM"/>
        <s v="ARANESP 80 mcg / 0.4 ml 1 JGP"/>
        <s v="BLINCYTO 35 mcg 1 FAM"/>
      </sharedItems>
    </cacheField>
    <cacheField name="ENE" numFmtId="164">
      <sharedItems containsSemiMixedTypes="0" containsString="0" containsNumber="1" containsInteger="1" minValue="0" maxValue="450"/>
    </cacheField>
    <cacheField name="FEB" numFmtId="164">
      <sharedItems containsSemiMixedTypes="0" containsString="0" containsNumber="1" containsInteger="1" minValue="0" maxValue="317"/>
    </cacheField>
    <cacheField name="MAR" numFmtId="164">
      <sharedItems containsSemiMixedTypes="0" containsString="0" containsNumber="1" containsInteger="1" minValue="0" maxValue="246"/>
    </cacheField>
    <cacheField name="ABR" numFmtId="164">
      <sharedItems containsSemiMixedTypes="0" containsString="0" containsNumber="1" containsInteger="1" minValue="0" maxValue="450"/>
    </cacheField>
    <cacheField name="MAY" numFmtId="164">
      <sharedItems containsSemiMixedTypes="0" containsString="0" containsNumber="1" containsInteger="1" minValue="-125" maxValue="304"/>
    </cacheField>
    <cacheField name="JUN" numFmtId="164">
      <sharedItems containsSemiMixedTypes="0" containsString="0" containsNumber="1" containsInteger="1" minValue="0" maxValue="257"/>
    </cacheField>
    <cacheField name="JUL" numFmtId="164">
      <sharedItems containsSemiMixedTypes="0" containsString="0" containsNumber="1" containsInteger="1" minValue="0" maxValue="171"/>
    </cacheField>
    <cacheField name="AGO" numFmtId="164">
      <sharedItems containsSemiMixedTypes="0" containsString="0" containsNumber="1" containsInteger="1" minValue="0" maxValue="168"/>
    </cacheField>
    <cacheField name="SEP" numFmtId="164">
      <sharedItems containsSemiMixedTypes="0" containsString="0" containsNumber="1" containsInteger="1" minValue="0" maxValue="1000"/>
    </cacheField>
    <cacheField name="OCT" numFmtId="164">
      <sharedItems containsSemiMixedTypes="0" containsString="0" containsNumber="1" containsInteger="1" minValue="0" maxValue="219"/>
    </cacheField>
    <cacheField name="NOV" numFmtId="164">
      <sharedItems containsSemiMixedTypes="0" containsString="0" containsNumber="1" containsInteger="1" minValue="0" maxValue="283"/>
    </cacheField>
    <cacheField name="DIC" numFmtId="164">
      <sharedItems containsSemiMixedTypes="0" containsString="0" containsNumber="1" containsInteger="1" minValue="0" maxValue="403"/>
    </cacheField>
    <cacheField name="ACUMULADO" numFmtId="164">
      <sharedItems containsSemiMixedTypes="0" containsString="0" containsNumber="1" containsInteger="1" minValue="0" maxValue="2004"/>
    </cacheField>
    <cacheField name="ASIGNADO" numFmtId="164">
      <sharedItems containsSemiMixedTypes="0" containsString="0" containsNumber="1" minValue="0" maxValue="3108"/>
    </cacheField>
    <cacheField name="% AVANCE" numFmtId="9">
      <sharedItems containsSemiMixedTypes="0" containsString="0" containsNumber="1" minValue="0" maxValue="1.1127167630057804"/>
    </cacheField>
    <cacheField name="$ IMPORTE SURTIDO" numFmtId="44">
      <sharedItems containsSemiMixedTypes="0" containsString="0" containsNumber="1" minValue="0" maxValue="12234222"/>
    </cacheField>
    <cacheField name="$ CONTRATO" numFmtId="44">
      <sharedItems containsSemiMixedTypes="0" containsString="0" containsNumber="1" minValue="0" maxValue="12356564.220000001"/>
    </cacheField>
    <cacheField name="LABORATORIO" numFmtId="0">
      <sharedItems/>
    </cacheField>
    <cacheField name="P UNITARIO" numFmtId="44">
      <sharedItems containsSemiMixedTypes="0" containsString="0" containsNumber="1" minValue="1440" maxValue="30402.01"/>
    </cacheField>
    <cacheField name="No EVENTO" numFmtId="0">
      <sharedItems count="102">
        <s v="LPN/ISSEMYM/021/2017"/>
        <s v="LPN/ISSEMYM/066/2016"/>
        <s v="Cotizacion 409 010317"/>
        <s v=" 297-140217"/>
        <s v="1717-250817"/>
        <s v="854-260417"/>
        <s v="719-070417"/>
        <s v="1610-150817"/>
        <s v="1902-140917"/>
        <s v="488-100317"/>
        <s v="Cotizacion 497 130317"/>
        <s v="710-060417"/>
        <s v="756-170417"/>
        <s v="Cotización: 910-080517"/>
        <s v="386-240217"/>
        <s v="820-240417"/>
        <s v="No. LA-019GYN041-E1-2017"/>
        <s v="2149-101017"/>
        <s v="937-100517"/>
        <s v="338-200217"/>
        <s v="1146-090617"/>
        <s v="1989-250917"/>
        <s v="1865-120917"/>
        <s v="1133-080617"/>
        <s v="1389-120717"/>
        <s v="1775-010917"/>
        <s v="2096-051017"/>
        <s v="1600-160817"/>
        <s v="738-110417"/>
        <s v="2240-201017"/>
        <s v="429-060317"/>
        <s v="923-090517"/>
        <s v="1179-140617"/>
        <s v="2565-071217"/>
        <s v="1777-010917"/>
        <s v="2432-151117"/>
        <s v="383-240217"/>
        <s v="1588-100817"/>
        <s v="2533-301117"/>
        <s v="2147-101017"/>
        <s v="1776-010917"/>
        <s v="523-150317"/>
        <s v="553-170317"/>
        <s v="1949-210917"/>
        <s v="2433-151117"/>
        <s v="Cotizacion 202 010217"/>
        <s v="1881-130917"/>
        <s v="COTIZACION 981-160517"/>
        <s v="1339-050617"/>
        <s v="1558-070817"/>
        <s v="Cotizacion 345 200217"/>
        <s v="1970-210917"/>
        <s v="2506-271117"/>
        <s v="GESFAL 140/2015"/>
        <s v="GESFAL-043-257/2017"/>
        <s v="651-300317"/>
        <s v="LPN 02/2017"/>
        <s v="2244-231017"/>
        <s v="2614-191217"/>
        <s v="LPN 19/2017"/>
        <s v="1099-050617"/>
        <s v="LPN No. 13/2017"/>
        <s v="2284-261017"/>
        <s v="No. PCE-LP-001-2017"/>
        <s v="2503-271117"/>
        <s v="SOSTENIMIENTO DE OCTUBRE 26"/>
        <s v="1833-080917"/>
        <s v="Sostenimiento de Precios"/>
        <s v="ADJ-13-03-2017"/>
        <s v="LPN-GESFAL 042-300-2017"/>
        <s v=" LPN 001 2016"/>
        <s v="COTIZACION 17-050117"/>
        <s v="1380-110717"/>
        <s v="LPI-103T00000-001-17"/>
        <s v="1622-160817"/>
        <s v="1525-010817"/>
        <s v="Cotizacion 189 010217"/>
        <s v="Cotizacion 211 020217"/>
        <s v="2124-121017"/>
        <s v="COTIZACION 799-200417"/>
        <s v="877-020517"/>
        <s v="1667-210817"/>
        <s v="2599-141217"/>
        <s v="2136-101017"/>
        <s v="2431-151117"/>
        <s v="2456-171017"/>
        <s v="No. 2017-27-PMX-DOPA-PC-GCSSS-SRM-CA-T-B"/>
        <s v="2360-071117"/>
        <s v="2254-241017"/>
        <s v="2164-111017"/>
        <s v="2214-171017"/>
        <s v="LPI-LA-007000999-E426-2016"/>
        <s v="DN-10 SASM-583/P/A/2017"/>
        <s v="DN-10 SASM-547/P(A)/2017"/>
        <s v="DN-10 SASM-255/S/A/2017"/>
        <s v="4520002849/2017"/>
        <s v="4520002900/2017"/>
        <s v="1173-140617"/>
        <s v="CENTRO DE MEZCLAS 2016-2018"/>
        <s v="1174-140617"/>
        <s v="4520002881/2017"/>
        <s v="670-030417"/>
      </sharedItems>
    </cacheField>
    <cacheField name="DIFERENCIA" numFmtId="164">
      <sharedItems containsSemiMixedTypes="0" containsString="0" containsNumber="1" minValue="-2004" maxValue="3108"/>
    </cacheField>
    <cacheField name="FECHA INICIO CONTRATO" numFmtId="15">
      <sharedItems containsSemiMixedTypes="0" containsNonDate="0" containsDate="1" containsString="0" minDate="2015-11-30T00:00:00" maxDate="2017-12-23T00:00:00"/>
    </cacheField>
    <cacheField name="FECHA FINAL CONTRATO" numFmtId="15">
      <sharedItems containsSemiMixedTypes="0" containsNonDate="0" containsDate="1" containsString="0" minDate="2017-03-09T00:00:00" maxDate="2019-01-01T00:00:00"/>
    </cacheField>
    <cacheField name="EMPRESA" numFmtId="0">
      <sharedItems/>
    </cacheField>
    <cacheField name="2015" numFmtId="164">
      <sharedItems containsSemiMixedTypes="0" containsString="0" containsNumber="1" containsInteger="1" minValue="0" maxValue="0"/>
    </cacheField>
    <cacheField name="2016" numFmtId="164">
      <sharedItems containsSemiMixedTypes="0" containsString="0" containsNumber="1" containsInteger="1" minValue="0" maxValue="187"/>
    </cacheField>
    <cacheField name="ACUMULADO GENERAL" numFmtId="164">
      <sharedItems containsSemiMixedTypes="0" containsString="0" containsNumber="1" containsInteger="1" minValue="0" maxValue="2004"/>
    </cacheField>
    <cacheField name="ASIGNADO TOTAL" numFmtId="164">
      <sharedItems containsSemiMixedTypes="0" containsString="0" containsNumber="1" minValue="0" maxValue="3108"/>
    </cacheField>
    <cacheField name="% AVANCE2" numFmtId="9">
      <sharedItems containsSemiMixedTypes="0" containsString="0" containsNumber="1" minValue="0" maxValue="1.1127167630057804"/>
    </cacheField>
    <cacheField name="$ IMPORTE SURTIDO2" numFmtId="44">
      <sharedItems containsSemiMixedTypes="0" containsString="0" containsNumber="1" minValue="0" maxValue="12234222"/>
    </cacheField>
    <cacheField name="$ CONTRATO2" numFmtId="44">
      <sharedItems containsSemiMixedTypes="0" containsString="0" containsNumber="1" minValue="0" maxValue="12356564.220000001"/>
    </cacheField>
    <cacheField name="ESTADO" numFmtId="0">
      <sharedItems/>
    </cacheField>
    <cacheField name="% ALC" numFmtId="0" formula="IF(ISERROR('ACUMULADO GENERAL'/'ASIGNADO TOTAL'),0,('ACUMULADO GENERAL'/'ASIGNADO TOTAL'))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22">
  <r>
    <x v="0"/>
    <n v="2017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940"/>
    <n v="0"/>
    <n v="0"/>
    <n v="2466560"/>
    <s v="AMGEN"/>
    <n v="2624"/>
    <x v="0"/>
    <n v="940"/>
    <d v="2017-10-04T00:00:00"/>
    <d v="2017-12-31T00:00:00"/>
    <s v="GRUPO FARMACOS ESPECIALIZADOS SA DE CV"/>
    <n v="0"/>
    <n v="0"/>
    <n v="0"/>
    <n v="940"/>
    <n v="0"/>
    <n v="0"/>
    <n v="2466560"/>
    <s v="EDO. DE MEX."/>
  </r>
  <r>
    <x v="1"/>
    <n v="2017"/>
    <x v="0"/>
    <x v="0"/>
    <x v="0"/>
    <x v="0"/>
    <x v="0"/>
    <n v="0"/>
    <n v="0"/>
    <n v="0"/>
    <n v="0"/>
    <n v="0"/>
    <n v="0"/>
    <n v="0"/>
    <n v="0"/>
    <n v="0"/>
    <n v="0"/>
    <n v="0"/>
    <n v="0"/>
    <n v="0"/>
    <n v="3108"/>
    <n v="0"/>
    <n v="0"/>
    <n v="8155392"/>
    <s v="AMGEN"/>
    <n v="2624"/>
    <x v="1"/>
    <n v="3108"/>
    <d v="2016-12-26T00:00:00"/>
    <d v="2017-12-31T00:00:00"/>
    <s v="GRUPO FARMACOS ESPECIALIZADOS SA DE CV"/>
    <n v="0"/>
    <n v="0"/>
    <n v="0"/>
    <n v="3108"/>
    <n v="0"/>
    <n v="0"/>
    <n v="8155392"/>
    <s v="EDO. DE MEX."/>
  </r>
  <r>
    <x v="0"/>
    <n v="2017"/>
    <x v="0"/>
    <x v="0"/>
    <x v="0"/>
    <x v="1"/>
    <x v="1"/>
    <n v="0"/>
    <n v="0"/>
    <n v="0"/>
    <n v="0"/>
    <n v="0"/>
    <n v="0"/>
    <n v="0"/>
    <n v="0"/>
    <n v="0"/>
    <n v="0"/>
    <n v="0"/>
    <n v="0"/>
    <n v="0"/>
    <n v="370"/>
    <n v="0"/>
    <n v="0"/>
    <n v="862655"/>
    <s v="AMGEN"/>
    <n v="2331.5"/>
    <x v="0"/>
    <n v="370"/>
    <d v="2017-10-04T00:00:00"/>
    <d v="2017-12-31T00:00:00"/>
    <s v="GRUPO FARMACOS ESPECIALIZADOS SA DE CV"/>
    <n v="0"/>
    <n v="0"/>
    <n v="0"/>
    <n v="370"/>
    <n v="0"/>
    <n v="0"/>
    <n v="862655"/>
    <s v="EDO. DE MEX."/>
  </r>
  <r>
    <x v="1"/>
    <n v="2017"/>
    <x v="0"/>
    <x v="0"/>
    <x v="0"/>
    <x v="1"/>
    <x v="1"/>
    <n v="0"/>
    <n v="0"/>
    <n v="0"/>
    <n v="0"/>
    <n v="0"/>
    <n v="0"/>
    <n v="0"/>
    <n v="0"/>
    <n v="0"/>
    <n v="0"/>
    <n v="0"/>
    <n v="0"/>
    <n v="0"/>
    <n v="1836"/>
    <n v="0"/>
    <n v="0"/>
    <n v="4280634"/>
    <s v="AMGEN"/>
    <n v="2331.5"/>
    <x v="1"/>
    <n v="1836"/>
    <d v="2016-12-26T00:00:00"/>
    <d v="2017-12-31T00:00:00"/>
    <s v="GRUPO FARMACOS ESPECIALIZADOS SA DE CV"/>
    <n v="0"/>
    <n v="0"/>
    <n v="0"/>
    <n v="1836"/>
    <n v="0"/>
    <n v="0"/>
    <n v="4280634"/>
    <s v="EDO. DE MEX."/>
  </r>
  <r>
    <x v="1"/>
    <n v="2017"/>
    <x v="0"/>
    <x v="0"/>
    <x v="1"/>
    <x v="0"/>
    <x v="0"/>
    <n v="0"/>
    <n v="0"/>
    <n v="0"/>
    <n v="0"/>
    <n v="0"/>
    <n v="0"/>
    <n v="0"/>
    <n v="0"/>
    <n v="4"/>
    <n v="0"/>
    <n v="0"/>
    <n v="0"/>
    <n v="4"/>
    <n v="0"/>
    <n v="0"/>
    <n v="10496"/>
    <n v="0"/>
    <s v="AMGEN"/>
    <n v="2624"/>
    <x v="1"/>
    <n v="-4"/>
    <d v="2016-12-26T00:00:00"/>
    <d v="2017-12-31T00:00:00"/>
    <s v="GRUPO FARMACOS ESPECIALIZADOS SA DE CV"/>
    <n v="0"/>
    <n v="0"/>
    <n v="4"/>
    <n v="0"/>
    <n v="0"/>
    <n v="10496"/>
    <n v="0"/>
    <s v="EDO. DE MEX."/>
  </r>
  <r>
    <x v="0"/>
    <n v="2017"/>
    <x v="0"/>
    <x v="0"/>
    <x v="2"/>
    <x v="0"/>
    <x v="0"/>
    <n v="0"/>
    <n v="0"/>
    <n v="0"/>
    <n v="0"/>
    <n v="0"/>
    <n v="0"/>
    <n v="0"/>
    <n v="0"/>
    <n v="0"/>
    <n v="0"/>
    <n v="1"/>
    <n v="0"/>
    <n v="1"/>
    <n v="0"/>
    <n v="0"/>
    <n v="2624"/>
    <n v="0"/>
    <s v="AMGEN"/>
    <n v="2624"/>
    <x v="0"/>
    <n v="-1"/>
    <d v="2017-10-04T00:00:00"/>
    <d v="2017-12-31T00:00:00"/>
    <s v="GRUPO FARMACOS ESPECIALIZADOS SA DE CV"/>
    <n v="0"/>
    <n v="0"/>
    <n v="1"/>
    <n v="0"/>
    <n v="0"/>
    <n v="2624"/>
    <n v="0"/>
    <s v="EDO. DE MEX."/>
  </r>
  <r>
    <x v="1"/>
    <n v="2017"/>
    <x v="0"/>
    <x v="0"/>
    <x v="2"/>
    <x v="0"/>
    <x v="0"/>
    <n v="0"/>
    <n v="0"/>
    <n v="0"/>
    <n v="0"/>
    <n v="0"/>
    <n v="0"/>
    <n v="0"/>
    <n v="6"/>
    <n v="1"/>
    <n v="0"/>
    <n v="0"/>
    <n v="0"/>
    <n v="7"/>
    <n v="0"/>
    <n v="0"/>
    <n v="18368"/>
    <n v="0"/>
    <s v="AMGEN"/>
    <n v="2624"/>
    <x v="1"/>
    <n v="-7"/>
    <d v="2016-12-26T00:00:00"/>
    <d v="2017-12-31T00:00:00"/>
    <s v="GRUPO FARMACOS ESPECIALIZADOS SA DE CV"/>
    <n v="0"/>
    <n v="0"/>
    <n v="7"/>
    <n v="0"/>
    <n v="0"/>
    <n v="18368"/>
    <n v="0"/>
    <s v="EDO. DE MEX."/>
  </r>
  <r>
    <x v="0"/>
    <n v="2017"/>
    <x v="0"/>
    <x v="0"/>
    <x v="3"/>
    <x v="0"/>
    <x v="0"/>
    <n v="0"/>
    <n v="0"/>
    <n v="0"/>
    <n v="0"/>
    <n v="0"/>
    <n v="0"/>
    <n v="0"/>
    <n v="0"/>
    <n v="0"/>
    <n v="3"/>
    <n v="1"/>
    <n v="0"/>
    <n v="4"/>
    <n v="0"/>
    <n v="0"/>
    <n v="10496"/>
    <n v="0"/>
    <s v="AMGEN"/>
    <n v="2624"/>
    <x v="0"/>
    <n v="-4"/>
    <d v="2017-10-04T00:00:00"/>
    <d v="2017-12-31T00:00:00"/>
    <s v="GRUPO FARMACOS ESPECIALIZADOS SA DE CV"/>
    <n v="0"/>
    <n v="0"/>
    <n v="4"/>
    <n v="0"/>
    <n v="0"/>
    <n v="10496"/>
    <n v="0"/>
    <s v="EDO. DE MEX."/>
  </r>
  <r>
    <x v="1"/>
    <n v="2017"/>
    <x v="0"/>
    <x v="0"/>
    <x v="3"/>
    <x v="0"/>
    <x v="0"/>
    <n v="0"/>
    <n v="0"/>
    <n v="0"/>
    <n v="0"/>
    <n v="0"/>
    <n v="0"/>
    <n v="0"/>
    <n v="0"/>
    <n v="16"/>
    <n v="0"/>
    <n v="0"/>
    <n v="0"/>
    <n v="16"/>
    <n v="0"/>
    <n v="0"/>
    <n v="41984"/>
    <n v="0"/>
    <s v="AMGEN"/>
    <n v="2624"/>
    <x v="1"/>
    <n v="-16"/>
    <d v="2016-12-26T00:00:00"/>
    <d v="2017-12-31T00:00:00"/>
    <s v="GRUPO FARMACOS ESPECIALIZADOS SA DE CV"/>
    <n v="0"/>
    <n v="0"/>
    <n v="16"/>
    <n v="0"/>
    <n v="0"/>
    <n v="41984"/>
    <n v="0"/>
    <s v="EDO. DE MEX."/>
  </r>
  <r>
    <x v="0"/>
    <n v="2017"/>
    <x v="0"/>
    <x v="0"/>
    <x v="4"/>
    <x v="0"/>
    <x v="0"/>
    <n v="0"/>
    <n v="0"/>
    <n v="0"/>
    <n v="0"/>
    <n v="0"/>
    <n v="0"/>
    <n v="0"/>
    <n v="0"/>
    <n v="0"/>
    <n v="0"/>
    <n v="0"/>
    <n v="3"/>
    <n v="3"/>
    <n v="0"/>
    <n v="0"/>
    <n v="7872"/>
    <n v="0"/>
    <s v="AMGEN"/>
    <n v="2624"/>
    <x v="0"/>
    <n v="-3"/>
    <d v="2017-10-04T00:00:00"/>
    <d v="2017-12-31T00:00:00"/>
    <s v="GRUPO FARMACOS ESPECIALIZADOS SA DE CV"/>
    <n v="0"/>
    <n v="0"/>
    <n v="3"/>
    <n v="0"/>
    <n v="0"/>
    <n v="7872"/>
    <n v="0"/>
    <s v="EDO. DE MEX."/>
  </r>
  <r>
    <x v="0"/>
    <n v="2017"/>
    <x v="0"/>
    <x v="0"/>
    <x v="5"/>
    <x v="0"/>
    <x v="0"/>
    <n v="0"/>
    <n v="0"/>
    <n v="0"/>
    <n v="0"/>
    <n v="0"/>
    <n v="0"/>
    <n v="0"/>
    <n v="0"/>
    <n v="0"/>
    <n v="5"/>
    <n v="6"/>
    <n v="17"/>
    <n v="28"/>
    <n v="0"/>
    <n v="0"/>
    <n v="73472"/>
    <n v="0"/>
    <s v="AMGEN"/>
    <n v="2624"/>
    <x v="0"/>
    <n v="-28"/>
    <d v="2017-10-04T00:00:00"/>
    <d v="2017-12-31T00:00:00"/>
    <s v="GRUPO FARMACOS ESPECIALIZADOS SA DE CV"/>
    <n v="0"/>
    <n v="0"/>
    <n v="28"/>
    <n v="0"/>
    <n v="0"/>
    <n v="73472"/>
    <n v="0"/>
    <s v="EDO. DE MEX."/>
  </r>
  <r>
    <x v="1"/>
    <n v="2017"/>
    <x v="0"/>
    <x v="0"/>
    <x v="5"/>
    <x v="0"/>
    <x v="0"/>
    <n v="4"/>
    <n v="3"/>
    <n v="12"/>
    <n v="4"/>
    <n v="13"/>
    <n v="15"/>
    <n v="5"/>
    <n v="15"/>
    <n v="9"/>
    <n v="2"/>
    <n v="0"/>
    <n v="0"/>
    <n v="82"/>
    <n v="0"/>
    <n v="0"/>
    <n v="215168"/>
    <n v="0"/>
    <s v="AMGEN"/>
    <n v="2624"/>
    <x v="1"/>
    <n v="-82"/>
    <d v="2016-12-26T00:00:00"/>
    <d v="2017-12-31T00:00:00"/>
    <s v="GRUPO FARMACOS ESPECIALIZADOS SA DE CV"/>
    <n v="0"/>
    <n v="0"/>
    <n v="82"/>
    <n v="0"/>
    <n v="0"/>
    <n v="215168"/>
    <n v="0"/>
    <s v="EDO. DE MEX."/>
  </r>
  <r>
    <x v="0"/>
    <n v="2017"/>
    <x v="0"/>
    <x v="0"/>
    <x v="6"/>
    <x v="0"/>
    <x v="0"/>
    <n v="0"/>
    <n v="0"/>
    <n v="0"/>
    <n v="0"/>
    <n v="0"/>
    <n v="0"/>
    <n v="0"/>
    <n v="0"/>
    <n v="0"/>
    <n v="2"/>
    <n v="4"/>
    <n v="4"/>
    <n v="10"/>
    <n v="0"/>
    <n v="0"/>
    <n v="26240"/>
    <n v="0"/>
    <s v="AMGEN"/>
    <n v="2624"/>
    <x v="0"/>
    <n v="-10"/>
    <d v="2017-10-04T00:00:00"/>
    <d v="2017-12-31T00:00:00"/>
    <s v="GRUPO FARMACOS ESPECIALIZADOS SA DE CV"/>
    <n v="0"/>
    <n v="0"/>
    <n v="10"/>
    <n v="0"/>
    <n v="0"/>
    <n v="26240"/>
    <n v="0"/>
    <s v="EDO. DE MEX."/>
  </r>
  <r>
    <x v="1"/>
    <n v="2017"/>
    <x v="0"/>
    <x v="0"/>
    <x v="6"/>
    <x v="0"/>
    <x v="0"/>
    <n v="0"/>
    <n v="0"/>
    <n v="0"/>
    <n v="0"/>
    <n v="2"/>
    <n v="0"/>
    <n v="3"/>
    <n v="2"/>
    <n v="0"/>
    <n v="0"/>
    <n v="0"/>
    <n v="0"/>
    <n v="7"/>
    <n v="0"/>
    <n v="0"/>
    <n v="18368"/>
    <n v="0"/>
    <s v="AMGEN"/>
    <n v="2624"/>
    <x v="1"/>
    <n v="-7"/>
    <d v="2016-12-26T00:00:00"/>
    <d v="2017-12-31T00:00:00"/>
    <s v="GRUPO FARMACOS ESPECIALIZADOS SA DE CV"/>
    <n v="0"/>
    <n v="0"/>
    <n v="7"/>
    <n v="0"/>
    <n v="0"/>
    <n v="18368"/>
    <n v="0"/>
    <s v="EDO. DE MEX."/>
  </r>
  <r>
    <x v="0"/>
    <n v="2017"/>
    <x v="0"/>
    <x v="0"/>
    <x v="7"/>
    <x v="0"/>
    <x v="0"/>
    <n v="0"/>
    <n v="0"/>
    <n v="0"/>
    <n v="0"/>
    <n v="0"/>
    <n v="0"/>
    <n v="0"/>
    <n v="0"/>
    <n v="0"/>
    <n v="0"/>
    <n v="2"/>
    <n v="1"/>
    <n v="3"/>
    <n v="0"/>
    <n v="0"/>
    <n v="7872"/>
    <n v="0"/>
    <s v="AMGEN"/>
    <n v="2624"/>
    <x v="0"/>
    <n v="-3"/>
    <d v="2017-10-04T00:00:00"/>
    <d v="2017-12-31T00:00:00"/>
    <s v="GRUPO FARMACOS ESPECIALIZADOS SA DE CV"/>
    <n v="0"/>
    <n v="0"/>
    <n v="3"/>
    <n v="0"/>
    <n v="0"/>
    <n v="7872"/>
    <n v="0"/>
    <s v="EDO. DE MEX."/>
  </r>
  <r>
    <x v="0"/>
    <n v="2017"/>
    <x v="0"/>
    <x v="0"/>
    <x v="8"/>
    <x v="0"/>
    <x v="0"/>
    <n v="0"/>
    <n v="0"/>
    <n v="0"/>
    <n v="0"/>
    <n v="0"/>
    <n v="0"/>
    <n v="0"/>
    <n v="0"/>
    <n v="0"/>
    <n v="2"/>
    <n v="4"/>
    <n v="11"/>
    <n v="17"/>
    <n v="0"/>
    <n v="0"/>
    <n v="44608"/>
    <n v="0"/>
    <s v="AMGEN"/>
    <n v="2624"/>
    <x v="0"/>
    <n v="-17"/>
    <d v="2017-10-04T00:00:00"/>
    <d v="2017-12-31T00:00:00"/>
    <s v="GRUPO FARMACOS ESPECIALIZADOS SA DE CV"/>
    <n v="0"/>
    <n v="0"/>
    <n v="17"/>
    <n v="0"/>
    <n v="0"/>
    <n v="44608"/>
    <n v="0"/>
    <s v="EDO. DE MEX."/>
  </r>
  <r>
    <x v="1"/>
    <n v="2017"/>
    <x v="0"/>
    <x v="0"/>
    <x v="8"/>
    <x v="0"/>
    <x v="0"/>
    <n v="1"/>
    <n v="3"/>
    <n v="1"/>
    <n v="2"/>
    <n v="1"/>
    <n v="5"/>
    <n v="3"/>
    <n v="7"/>
    <n v="4"/>
    <n v="5"/>
    <n v="0"/>
    <n v="0"/>
    <n v="32"/>
    <n v="0"/>
    <n v="0"/>
    <n v="83968"/>
    <n v="0"/>
    <s v="AMGEN"/>
    <n v="2624"/>
    <x v="1"/>
    <n v="-32"/>
    <d v="2016-12-26T00:00:00"/>
    <d v="2017-12-31T00:00:00"/>
    <s v="GRUPO FARMACOS ESPECIALIZADOS SA DE CV"/>
    <n v="0"/>
    <n v="0"/>
    <n v="32"/>
    <n v="0"/>
    <n v="0"/>
    <n v="83968"/>
    <n v="0"/>
    <s v="EDO. DE MEX."/>
  </r>
  <r>
    <x v="0"/>
    <n v="2017"/>
    <x v="0"/>
    <x v="0"/>
    <x v="9"/>
    <x v="0"/>
    <x v="0"/>
    <n v="0"/>
    <n v="0"/>
    <n v="0"/>
    <n v="0"/>
    <n v="0"/>
    <n v="0"/>
    <n v="0"/>
    <n v="0"/>
    <n v="0"/>
    <n v="0"/>
    <n v="0"/>
    <n v="1"/>
    <n v="1"/>
    <n v="0"/>
    <n v="0"/>
    <n v="2624"/>
    <n v="0"/>
    <s v="AMGEN"/>
    <n v="2624"/>
    <x v="0"/>
    <n v="-1"/>
    <d v="2017-10-04T00:00:00"/>
    <d v="2017-12-31T00:00:00"/>
    <s v="GRUPO FARMACOS ESPECIALIZADOS SA DE CV"/>
    <n v="0"/>
    <n v="0"/>
    <n v="1"/>
    <n v="0"/>
    <n v="0"/>
    <n v="2624"/>
    <n v="0"/>
    <s v="EDO. DE MEX."/>
  </r>
  <r>
    <x v="1"/>
    <n v="2017"/>
    <x v="0"/>
    <x v="0"/>
    <x v="9"/>
    <x v="0"/>
    <x v="0"/>
    <n v="0"/>
    <n v="0"/>
    <n v="0"/>
    <n v="0"/>
    <n v="0"/>
    <n v="0"/>
    <n v="0"/>
    <n v="0"/>
    <n v="0"/>
    <n v="1"/>
    <n v="0"/>
    <n v="0"/>
    <n v="1"/>
    <n v="0"/>
    <n v="0"/>
    <n v="2624"/>
    <n v="0"/>
    <s v="AMGEN"/>
    <n v="2624"/>
    <x v="1"/>
    <n v="-1"/>
    <d v="2016-12-26T00:00:00"/>
    <d v="2017-12-31T00:00:00"/>
    <s v="GRUPO FARMACOS ESPECIALIZADOS SA DE CV"/>
    <n v="0"/>
    <n v="0"/>
    <n v="1"/>
    <n v="0"/>
    <n v="0"/>
    <n v="2624"/>
    <n v="0"/>
    <s v="EDO. DE MEX."/>
  </r>
  <r>
    <x v="0"/>
    <n v="2017"/>
    <x v="0"/>
    <x v="0"/>
    <x v="10"/>
    <x v="0"/>
    <x v="0"/>
    <n v="0"/>
    <n v="0"/>
    <n v="0"/>
    <n v="0"/>
    <n v="0"/>
    <n v="0"/>
    <n v="0"/>
    <n v="0"/>
    <n v="0"/>
    <n v="4"/>
    <n v="3"/>
    <n v="5"/>
    <n v="12"/>
    <n v="0"/>
    <n v="0"/>
    <n v="31488"/>
    <n v="0"/>
    <s v="AMGEN"/>
    <n v="2624"/>
    <x v="0"/>
    <n v="-12"/>
    <d v="2017-10-04T00:00:00"/>
    <d v="2017-12-31T00:00:00"/>
    <s v="GRUPO FARMACOS ESPECIALIZADOS SA DE CV"/>
    <n v="0"/>
    <n v="0"/>
    <n v="12"/>
    <n v="0"/>
    <n v="0"/>
    <n v="31488"/>
    <n v="0"/>
    <s v="EDO. DE MEX."/>
  </r>
  <r>
    <x v="1"/>
    <n v="2017"/>
    <x v="0"/>
    <x v="0"/>
    <x v="10"/>
    <x v="0"/>
    <x v="0"/>
    <n v="3"/>
    <n v="3"/>
    <n v="2"/>
    <n v="5"/>
    <n v="3"/>
    <n v="11"/>
    <n v="4"/>
    <n v="10"/>
    <n v="0"/>
    <n v="1"/>
    <n v="0"/>
    <n v="0"/>
    <n v="42"/>
    <n v="0"/>
    <n v="0"/>
    <n v="110208"/>
    <n v="0"/>
    <s v="AMGEN"/>
    <n v="2624"/>
    <x v="1"/>
    <n v="-42"/>
    <d v="2016-12-26T00:00:00"/>
    <d v="2017-12-31T00:00:00"/>
    <s v="GRUPO FARMACOS ESPECIALIZADOS SA DE CV"/>
    <n v="0"/>
    <n v="0"/>
    <n v="42"/>
    <n v="0"/>
    <n v="0"/>
    <n v="110208"/>
    <n v="0"/>
    <s v="EDO. DE MEX."/>
  </r>
  <r>
    <x v="0"/>
    <n v="2017"/>
    <x v="0"/>
    <x v="0"/>
    <x v="11"/>
    <x v="0"/>
    <x v="0"/>
    <n v="0"/>
    <n v="0"/>
    <n v="0"/>
    <n v="0"/>
    <n v="0"/>
    <n v="0"/>
    <n v="0"/>
    <n v="0"/>
    <n v="0"/>
    <n v="2"/>
    <n v="1"/>
    <n v="5"/>
    <n v="8"/>
    <n v="0"/>
    <n v="0"/>
    <n v="20992"/>
    <n v="0"/>
    <s v="AMGEN"/>
    <n v="2624"/>
    <x v="0"/>
    <n v="-8"/>
    <d v="2017-10-04T00:00:00"/>
    <d v="2017-12-31T00:00:00"/>
    <s v="GRUPO FARMACOS ESPECIALIZADOS SA DE CV"/>
    <n v="0"/>
    <n v="0"/>
    <n v="8"/>
    <n v="0"/>
    <n v="0"/>
    <n v="20992"/>
    <n v="0"/>
    <s v="EDO. DE MEX."/>
  </r>
  <r>
    <x v="1"/>
    <n v="2017"/>
    <x v="0"/>
    <x v="0"/>
    <x v="11"/>
    <x v="0"/>
    <x v="0"/>
    <n v="0"/>
    <n v="0"/>
    <n v="0"/>
    <n v="1"/>
    <n v="1"/>
    <n v="0"/>
    <n v="1"/>
    <n v="2"/>
    <n v="5"/>
    <n v="1"/>
    <n v="0"/>
    <n v="0"/>
    <n v="11"/>
    <n v="0"/>
    <n v="0"/>
    <n v="28864"/>
    <n v="0"/>
    <s v="AMGEN"/>
    <n v="2624"/>
    <x v="1"/>
    <n v="-11"/>
    <d v="2016-12-26T00:00:00"/>
    <d v="2017-12-31T00:00:00"/>
    <s v="GRUPO FARMACOS ESPECIALIZADOS SA DE CV"/>
    <n v="0"/>
    <n v="0"/>
    <n v="11"/>
    <n v="0"/>
    <n v="0"/>
    <n v="28864"/>
    <n v="0"/>
    <s v="EDO. DE MEX."/>
  </r>
  <r>
    <x v="0"/>
    <n v="2017"/>
    <x v="0"/>
    <x v="0"/>
    <x v="12"/>
    <x v="0"/>
    <x v="0"/>
    <n v="0"/>
    <n v="0"/>
    <n v="0"/>
    <n v="0"/>
    <n v="0"/>
    <n v="0"/>
    <n v="0"/>
    <n v="0"/>
    <n v="0"/>
    <n v="6"/>
    <n v="8"/>
    <n v="17"/>
    <n v="31"/>
    <n v="0"/>
    <n v="0"/>
    <n v="81344"/>
    <n v="0"/>
    <s v="AMGEN"/>
    <n v="2624"/>
    <x v="0"/>
    <n v="-31"/>
    <d v="2017-10-04T00:00:00"/>
    <d v="2017-12-31T00:00:00"/>
    <s v="GRUPO FARMACOS ESPECIALIZADOS SA DE CV"/>
    <n v="0"/>
    <n v="0"/>
    <n v="31"/>
    <n v="0"/>
    <n v="0"/>
    <n v="81344"/>
    <n v="0"/>
    <s v="EDO. DE MEX."/>
  </r>
  <r>
    <x v="1"/>
    <n v="2017"/>
    <x v="0"/>
    <x v="0"/>
    <x v="12"/>
    <x v="0"/>
    <x v="0"/>
    <n v="0"/>
    <n v="7"/>
    <n v="8"/>
    <n v="10"/>
    <n v="11"/>
    <n v="7"/>
    <n v="7"/>
    <n v="5"/>
    <n v="9"/>
    <n v="4"/>
    <n v="0"/>
    <n v="0"/>
    <n v="68"/>
    <n v="0"/>
    <n v="0"/>
    <n v="178432"/>
    <n v="0"/>
    <s v="AMGEN"/>
    <n v="2624"/>
    <x v="1"/>
    <n v="-68"/>
    <d v="2016-12-26T00:00:00"/>
    <d v="2017-12-31T00:00:00"/>
    <s v="GRUPO FARMACOS ESPECIALIZADOS SA DE CV"/>
    <n v="0"/>
    <n v="0"/>
    <n v="68"/>
    <n v="0"/>
    <n v="0"/>
    <n v="178432"/>
    <n v="0"/>
    <s v="EDO. DE MEX."/>
  </r>
  <r>
    <x v="0"/>
    <n v="2017"/>
    <x v="0"/>
    <x v="0"/>
    <x v="13"/>
    <x v="0"/>
    <x v="0"/>
    <n v="0"/>
    <n v="0"/>
    <n v="0"/>
    <n v="0"/>
    <n v="0"/>
    <n v="0"/>
    <n v="0"/>
    <n v="0"/>
    <n v="0"/>
    <n v="126"/>
    <n v="283"/>
    <n v="403"/>
    <n v="812"/>
    <n v="0"/>
    <n v="0"/>
    <n v="2130688"/>
    <n v="0"/>
    <s v="AMGEN"/>
    <n v="2624"/>
    <x v="0"/>
    <n v="-812"/>
    <d v="2017-10-04T00:00:00"/>
    <d v="2017-12-31T00:00:00"/>
    <s v="GRUPO FARMACOS ESPECIALIZADOS SA DE CV"/>
    <n v="0"/>
    <n v="0"/>
    <n v="812"/>
    <n v="0"/>
    <n v="0"/>
    <n v="2130688"/>
    <n v="0"/>
    <s v="EDO. DE MEX."/>
  </r>
  <r>
    <x v="1"/>
    <n v="2017"/>
    <x v="0"/>
    <x v="0"/>
    <x v="13"/>
    <x v="0"/>
    <x v="0"/>
    <n v="137"/>
    <n v="147"/>
    <n v="220"/>
    <n v="133"/>
    <n v="304"/>
    <n v="166"/>
    <n v="171"/>
    <n v="164"/>
    <n v="137"/>
    <n v="45"/>
    <n v="0"/>
    <n v="0"/>
    <n v="1624"/>
    <n v="0"/>
    <n v="0"/>
    <n v="4261376"/>
    <n v="0"/>
    <s v="AMGEN"/>
    <n v="2624"/>
    <x v="1"/>
    <n v="-1624"/>
    <d v="2016-12-26T00:00:00"/>
    <d v="2017-12-31T00:00:00"/>
    <s v="GRUPO FARMACOS ESPECIALIZADOS SA DE CV"/>
    <n v="0"/>
    <n v="0"/>
    <n v="1624"/>
    <n v="0"/>
    <n v="0"/>
    <n v="4261376"/>
    <n v="0"/>
    <s v="EDO. DE MEX."/>
  </r>
  <r>
    <x v="0"/>
    <n v="2017"/>
    <x v="0"/>
    <x v="0"/>
    <x v="13"/>
    <x v="1"/>
    <x v="1"/>
    <n v="0"/>
    <n v="0"/>
    <n v="0"/>
    <n v="0"/>
    <n v="0"/>
    <n v="0"/>
    <n v="0"/>
    <n v="0"/>
    <n v="0"/>
    <n v="27"/>
    <n v="30"/>
    <n v="55"/>
    <n v="112"/>
    <n v="0"/>
    <n v="0"/>
    <n v="261128"/>
    <n v="0"/>
    <s v="AMGEN"/>
    <n v="2331.5"/>
    <x v="0"/>
    <n v="-112"/>
    <d v="2017-10-04T00:00:00"/>
    <d v="2017-12-31T00:00:00"/>
    <s v="GRUPO FARMACOS ESPECIALIZADOS SA DE CV"/>
    <n v="0"/>
    <n v="0"/>
    <n v="112"/>
    <n v="0"/>
    <n v="0"/>
    <n v="261128"/>
    <n v="0"/>
    <s v="EDO. DE MEX."/>
  </r>
  <r>
    <x v="1"/>
    <n v="2017"/>
    <x v="0"/>
    <x v="0"/>
    <x v="13"/>
    <x v="1"/>
    <x v="1"/>
    <n v="11"/>
    <n v="17"/>
    <n v="20"/>
    <n v="19"/>
    <n v="29"/>
    <n v="11"/>
    <n v="18"/>
    <n v="33"/>
    <n v="24"/>
    <n v="8"/>
    <n v="0"/>
    <n v="0"/>
    <n v="190"/>
    <n v="0"/>
    <n v="0"/>
    <n v="442985"/>
    <n v="0"/>
    <s v="AMGEN"/>
    <n v="2331.5"/>
    <x v="1"/>
    <n v="-190"/>
    <d v="2016-12-26T00:00:00"/>
    <d v="2017-12-31T00:00:00"/>
    <s v="GRUPO FARMACOS ESPECIALIZADOS SA DE CV"/>
    <n v="0"/>
    <n v="0"/>
    <n v="190"/>
    <n v="0"/>
    <n v="0"/>
    <n v="442985"/>
    <n v="0"/>
    <s v="EDO. DE MEX."/>
  </r>
  <r>
    <x v="0"/>
    <n v="2017"/>
    <x v="0"/>
    <x v="0"/>
    <x v="14"/>
    <x v="0"/>
    <x v="0"/>
    <n v="0"/>
    <n v="0"/>
    <n v="0"/>
    <n v="0"/>
    <n v="0"/>
    <n v="0"/>
    <n v="0"/>
    <n v="0"/>
    <n v="0"/>
    <n v="219"/>
    <n v="269"/>
    <n v="249"/>
    <n v="737"/>
    <n v="0"/>
    <n v="0"/>
    <n v="1933888"/>
    <n v="0"/>
    <s v="AMGEN"/>
    <n v="2624"/>
    <x v="0"/>
    <n v="-737"/>
    <d v="2017-10-04T00:00:00"/>
    <d v="2017-12-31T00:00:00"/>
    <s v="GRUPO FARMACOS ESPECIALIZADOS SA DE CV"/>
    <n v="0"/>
    <n v="0"/>
    <n v="737"/>
    <n v="0"/>
    <n v="0"/>
    <n v="1933888"/>
    <n v="0"/>
    <s v="EDO. DE MEX."/>
  </r>
  <r>
    <x v="1"/>
    <n v="2017"/>
    <x v="0"/>
    <x v="0"/>
    <x v="14"/>
    <x v="0"/>
    <x v="0"/>
    <n v="386"/>
    <n v="317"/>
    <n v="246"/>
    <n v="255"/>
    <n v="193"/>
    <n v="257"/>
    <n v="117"/>
    <n v="133"/>
    <n v="74"/>
    <n v="26"/>
    <n v="0"/>
    <n v="0"/>
    <n v="2004"/>
    <n v="0"/>
    <n v="0"/>
    <n v="5258496"/>
    <n v="0"/>
    <s v="AMGEN"/>
    <n v="2624"/>
    <x v="1"/>
    <n v="-2004"/>
    <d v="2016-12-26T00:00:00"/>
    <d v="2017-12-31T00:00:00"/>
    <s v="GRUPO FARMACOS ESPECIALIZADOS SA DE CV"/>
    <n v="0"/>
    <n v="0"/>
    <n v="2004"/>
    <n v="0"/>
    <n v="0"/>
    <n v="5258496"/>
    <n v="0"/>
    <s v="EDO. DE MEX."/>
  </r>
  <r>
    <x v="0"/>
    <n v="2017"/>
    <x v="0"/>
    <x v="0"/>
    <x v="14"/>
    <x v="1"/>
    <x v="1"/>
    <n v="0"/>
    <n v="0"/>
    <n v="0"/>
    <n v="0"/>
    <n v="0"/>
    <n v="0"/>
    <n v="0"/>
    <n v="0"/>
    <n v="0"/>
    <n v="119"/>
    <n v="179"/>
    <n v="130"/>
    <n v="428"/>
    <n v="0"/>
    <n v="0"/>
    <n v="997882"/>
    <n v="0"/>
    <s v="AMGEN"/>
    <n v="2331.5"/>
    <x v="0"/>
    <n v="-428"/>
    <d v="2017-10-04T00:00:00"/>
    <d v="2017-12-31T00:00:00"/>
    <s v="GRUPO FARMACOS ESPECIALIZADOS SA DE CV"/>
    <n v="0"/>
    <n v="0"/>
    <n v="428"/>
    <n v="0"/>
    <n v="0"/>
    <n v="997882"/>
    <n v="0"/>
    <s v="EDO. DE MEX."/>
  </r>
  <r>
    <x v="1"/>
    <n v="2017"/>
    <x v="0"/>
    <x v="0"/>
    <x v="14"/>
    <x v="1"/>
    <x v="1"/>
    <n v="170"/>
    <n v="134"/>
    <n v="113"/>
    <n v="128"/>
    <n v="102"/>
    <n v="136"/>
    <n v="75"/>
    <n v="78"/>
    <n v="15"/>
    <n v="0"/>
    <n v="0"/>
    <n v="0"/>
    <n v="951"/>
    <n v="0"/>
    <n v="0"/>
    <n v="2217256.5"/>
    <n v="0"/>
    <s v="AMGEN"/>
    <n v="2331.5"/>
    <x v="1"/>
    <n v="-951"/>
    <d v="2016-12-26T00:00:00"/>
    <d v="2017-12-31T00:00:00"/>
    <s v="GRUPO FARMACOS ESPECIALIZADOS SA DE CV"/>
    <n v="0"/>
    <n v="0"/>
    <n v="951"/>
    <n v="0"/>
    <n v="0"/>
    <n v="2217256.5"/>
    <n v="0"/>
    <s v="EDO. DE MEX."/>
  </r>
  <r>
    <x v="2"/>
    <n v="2017"/>
    <x v="1"/>
    <x v="1"/>
    <x v="15"/>
    <x v="2"/>
    <x v="2"/>
    <n v="0"/>
    <n v="0"/>
    <n v="0"/>
    <n v="0"/>
    <n v="0"/>
    <n v="12"/>
    <n v="0"/>
    <n v="0"/>
    <n v="0"/>
    <n v="0"/>
    <n v="0"/>
    <n v="0"/>
    <n v="12"/>
    <n v="12"/>
    <n v="1"/>
    <n v="88116"/>
    <n v="88116"/>
    <s v="AMGEN"/>
    <n v="7343"/>
    <x v="2"/>
    <n v="0"/>
    <d v="2017-03-07T00:00:00"/>
    <d v="2017-12-31T00:00:00"/>
    <s v="GRUPO FARMACOS ESPECIALIZADOS SA DE CV"/>
    <n v="0"/>
    <n v="0"/>
    <n v="12"/>
    <n v="12"/>
    <n v="1"/>
    <n v="88116"/>
    <n v="88116"/>
    <s v="QUERETARO"/>
  </r>
  <r>
    <x v="3"/>
    <n v="2017"/>
    <x v="1"/>
    <x v="2"/>
    <x v="16"/>
    <x v="3"/>
    <x v="3"/>
    <n v="0"/>
    <n v="1"/>
    <n v="0"/>
    <n v="0"/>
    <n v="0"/>
    <n v="0"/>
    <n v="0"/>
    <n v="0"/>
    <n v="0"/>
    <n v="0"/>
    <n v="0"/>
    <n v="0"/>
    <n v="1"/>
    <n v="1"/>
    <n v="1"/>
    <n v="3655.6"/>
    <n v="3655.6"/>
    <s v="AMGEN"/>
    <n v="3655.6"/>
    <x v="3"/>
    <n v="0"/>
    <d v="2017-02-15T00:00:00"/>
    <d v="2017-03-15T00:00:00"/>
    <s v="GRUPO FARMACOS ESPECIALIZADOS SA DE CV"/>
    <n v="0"/>
    <n v="0"/>
    <n v="1"/>
    <n v="1"/>
    <n v="1"/>
    <n v="3655.6"/>
    <n v="3655.6"/>
    <s v="VERACRUZ"/>
  </r>
  <r>
    <x v="4"/>
    <n v="2017"/>
    <x v="1"/>
    <x v="2"/>
    <x v="16"/>
    <x v="2"/>
    <x v="2"/>
    <n v="0"/>
    <n v="0"/>
    <n v="0"/>
    <n v="0"/>
    <n v="0"/>
    <n v="0"/>
    <n v="0"/>
    <n v="2"/>
    <n v="0"/>
    <n v="0"/>
    <n v="0"/>
    <n v="0"/>
    <n v="2"/>
    <n v="2"/>
    <n v="1"/>
    <n v="14686"/>
    <n v="14686"/>
    <s v="AMGEN"/>
    <n v="7343"/>
    <x v="4"/>
    <n v="0"/>
    <d v="2017-08-29T00:00:00"/>
    <d v="2017-09-29T00:00:00"/>
    <s v="GRUPO FARMACOS ESPECIALIZADOS SA DE CV"/>
    <n v="0"/>
    <n v="0"/>
    <n v="2"/>
    <n v="2"/>
    <n v="1"/>
    <n v="14686"/>
    <n v="14686"/>
    <s v="VERACRUZ"/>
  </r>
  <r>
    <x v="5"/>
    <n v="2017"/>
    <x v="1"/>
    <x v="2"/>
    <x v="16"/>
    <x v="0"/>
    <x v="0"/>
    <n v="0"/>
    <n v="0"/>
    <n v="0"/>
    <n v="0"/>
    <n v="2"/>
    <n v="0"/>
    <n v="0"/>
    <n v="0"/>
    <n v="0"/>
    <n v="0"/>
    <n v="0"/>
    <n v="0"/>
    <n v="2"/>
    <n v="2"/>
    <n v="1"/>
    <n v="5248"/>
    <n v="5248"/>
    <s v="AMGEN"/>
    <n v="2624"/>
    <x v="5"/>
    <n v="0"/>
    <d v="2017-04-28T00:00:00"/>
    <d v="2017-05-28T00:00:00"/>
    <s v="GRUPO FARMACOS ESPECIALIZADOS SA DE CV"/>
    <n v="0"/>
    <n v="0"/>
    <n v="2"/>
    <n v="2"/>
    <n v="1"/>
    <n v="5248"/>
    <n v="5248"/>
    <s v="VERACRUZ"/>
  </r>
  <r>
    <x v="6"/>
    <n v="2017"/>
    <x v="1"/>
    <x v="2"/>
    <x v="16"/>
    <x v="1"/>
    <x v="1"/>
    <n v="0"/>
    <n v="0"/>
    <n v="0"/>
    <n v="1"/>
    <n v="0"/>
    <n v="2"/>
    <n v="0"/>
    <n v="0"/>
    <n v="0"/>
    <n v="0"/>
    <n v="0"/>
    <n v="0"/>
    <n v="3"/>
    <n v="3"/>
    <n v="1"/>
    <n v="6994.5"/>
    <n v="6994.5"/>
    <s v="AMGEN"/>
    <n v="2331.5"/>
    <x v="6"/>
    <n v="0"/>
    <d v="2017-04-10T00:00:00"/>
    <d v="2017-12-10T00:00:00"/>
    <s v="GRUPO FARMACOS ESPECIALIZADOS SA DE CV"/>
    <n v="0"/>
    <n v="0"/>
    <n v="3"/>
    <n v="3"/>
    <n v="1"/>
    <n v="6994.5"/>
    <n v="6994.5"/>
    <s v="VERACRUZ"/>
  </r>
  <r>
    <x v="7"/>
    <n v="2017"/>
    <x v="1"/>
    <x v="3"/>
    <x v="17"/>
    <x v="4"/>
    <x v="4"/>
    <n v="0"/>
    <n v="0"/>
    <n v="0"/>
    <n v="0"/>
    <n v="0"/>
    <n v="0"/>
    <n v="0"/>
    <n v="2"/>
    <n v="0"/>
    <n v="0"/>
    <n v="0"/>
    <n v="0"/>
    <n v="2"/>
    <n v="2"/>
    <n v="1"/>
    <n v="13356"/>
    <n v="13356"/>
    <s v="AMGEN"/>
    <n v="6678"/>
    <x v="7"/>
    <n v="0"/>
    <d v="2017-08-16T00:00:00"/>
    <d v="2017-09-16T00:00:00"/>
    <s v="GRUPO FARMACOS ESPECIALIZADOS SA DE CV"/>
    <n v="0"/>
    <n v="0"/>
    <n v="2"/>
    <n v="2"/>
    <n v="1"/>
    <n v="13356"/>
    <n v="13356"/>
    <s v="YUCATAN"/>
  </r>
  <r>
    <x v="8"/>
    <n v="2017"/>
    <x v="1"/>
    <x v="3"/>
    <x v="17"/>
    <x v="4"/>
    <x v="4"/>
    <n v="0"/>
    <n v="0"/>
    <n v="0"/>
    <n v="0"/>
    <n v="0"/>
    <n v="0"/>
    <n v="0"/>
    <n v="0"/>
    <n v="12"/>
    <n v="0"/>
    <n v="0"/>
    <n v="0"/>
    <n v="12"/>
    <n v="12"/>
    <n v="1"/>
    <n v="83505.600000000006"/>
    <n v="83505.600000000006"/>
    <s v="AMGEN"/>
    <n v="6958.8"/>
    <x v="8"/>
    <n v="0"/>
    <d v="2017-09-18T00:00:00"/>
    <d v="2017-10-18T00:00:00"/>
    <s v="GRUPO FARMACOS ESPECIALIZADOS SA DE CV"/>
    <n v="0"/>
    <n v="0"/>
    <n v="12"/>
    <n v="12"/>
    <n v="1"/>
    <n v="83505.600000000006"/>
    <n v="83505.600000000006"/>
    <s v="YUCATAN"/>
  </r>
  <r>
    <x v="9"/>
    <n v="2017"/>
    <x v="1"/>
    <x v="4"/>
    <x v="18"/>
    <x v="5"/>
    <x v="5"/>
    <n v="0"/>
    <n v="0"/>
    <n v="2"/>
    <n v="0"/>
    <n v="0"/>
    <n v="0"/>
    <n v="0"/>
    <n v="0"/>
    <n v="0"/>
    <n v="0"/>
    <n v="0"/>
    <n v="0"/>
    <n v="2"/>
    <n v="2"/>
    <n v="1"/>
    <n v="3936"/>
    <n v="3936"/>
    <s v="AMGEN"/>
    <n v="1968"/>
    <x v="9"/>
    <n v="0"/>
    <d v="2017-03-13T00:00:00"/>
    <d v="2017-04-13T00:00:00"/>
    <s v="GRUPO FARMACOS ESPECIALIZADOS SA DE CV"/>
    <n v="0"/>
    <n v="0"/>
    <n v="2"/>
    <n v="2"/>
    <n v="1"/>
    <n v="3936"/>
    <n v="3936"/>
    <s v="OAXACA"/>
  </r>
  <r>
    <x v="10"/>
    <n v="2017"/>
    <x v="1"/>
    <x v="4"/>
    <x v="18"/>
    <x v="5"/>
    <x v="5"/>
    <n v="0"/>
    <n v="0"/>
    <n v="1"/>
    <n v="0"/>
    <n v="0"/>
    <n v="0"/>
    <n v="0"/>
    <n v="0"/>
    <n v="0"/>
    <n v="0"/>
    <n v="0"/>
    <n v="0"/>
    <n v="1"/>
    <n v="1"/>
    <n v="1"/>
    <n v="1968"/>
    <n v="1968"/>
    <s v="AMGEN"/>
    <n v="1968"/>
    <x v="10"/>
    <n v="0"/>
    <d v="2017-03-15T00:00:00"/>
    <d v="2017-04-15T00:00:00"/>
    <s v="GRUPO FARMACOS ESPECIALIZADOS SA DE CV"/>
    <n v="0"/>
    <n v="0"/>
    <n v="1"/>
    <n v="1"/>
    <n v="1"/>
    <n v="1968"/>
    <n v="1968"/>
    <s v="OAXACA"/>
  </r>
  <r>
    <x v="11"/>
    <n v="2017"/>
    <x v="1"/>
    <x v="4"/>
    <x v="18"/>
    <x v="5"/>
    <x v="5"/>
    <n v="0"/>
    <n v="0"/>
    <n v="0"/>
    <n v="10"/>
    <n v="0"/>
    <n v="0"/>
    <n v="0"/>
    <n v="0"/>
    <n v="0"/>
    <n v="0"/>
    <n v="0"/>
    <n v="0"/>
    <n v="10"/>
    <n v="10"/>
    <n v="1"/>
    <n v="19680"/>
    <n v="19680"/>
    <s v="AMGEN"/>
    <n v="1968"/>
    <x v="11"/>
    <n v="0"/>
    <d v="2017-04-10T00:00:00"/>
    <d v="2017-05-10T00:00:00"/>
    <s v="GRUPO FARMACOS ESPECIALIZADOS SA DE CV"/>
    <n v="0"/>
    <n v="0"/>
    <n v="10"/>
    <n v="10"/>
    <n v="1"/>
    <n v="19680"/>
    <n v="19680"/>
    <s v="OAXACA"/>
  </r>
  <r>
    <x v="12"/>
    <n v="2017"/>
    <x v="1"/>
    <x v="4"/>
    <x v="18"/>
    <x v="5"/>
    <x v="5"/>
    <n v="0"/>
    <n v="0"/>
    <n v="0"/>
    <n v="3"/>
    <n v="0"/>
    <n v="0"/>
    <n v="0"/>
    <n v="0"/>
    <n v="0"/>
    <n v="0"/>
    <n v="0"/>
    <n v="0"/>
    <n v="3"/>
    <n v="3"/>
    <n v="1"/>
    <n v="5904"/>
    <n v="5904"/>
    <s v="AMGEN"/>
    <n v="1968"/>
    <x v="12"/>
    <n v="0"/>
    <d v="2017-04-18T00:00:00"/>
    <d v="2017-05-18T00:00:00"/>
    <s v="GRUPO FARMACOS ESPECIALIZADOS SA DE CV"/>
    <n v="0"/>
    <n v="0"/>
    <n v="3"/>
    <n v="3"/>
    <n v="1"/>
    <n v="5904"/>
    <n v="5904"/>
    <s v="OAXACA"/>
  </r>
  <r>
    <x v="13"/>
    <n v="2017"/>
    <x v="1"/>
    <x v="4"/>
    <x v="18"/>
    <x v="5"/>
    <x v="5"/>
    <n v="0"/>
    <n v="0"/>
    <n v="0"/>
    <n v="0"/>
    <n v="31"/>
    <n v="0"/>
    <n v="0"/>
    <n v="0"/>
    <n v="0"/>
    <n v="0"/>
    <n v="0"/>
    <n v="0"/>
    <n v="31"/>
    <n v="31"/>
    <n v="1"/>
    <n v="61008"/>
    <n v="61008"/>
    <s v="AMGEN"/>
    <n v="1968"/>
    <x v="13"/>
    <n v="0"/>
    <d v="2017-05-09T00:00:00"/>
    <d v="2017-06-09T00:00:00"/>
    <s v="GRUPO FARMACOS ESPECIALIZADOS SA DE CV"/>
    <n v="0"/>
    <n v="0"/>
    <n v="31"/>
    <n v="31"/>
    <n v="1"/>
    <n v="61008"/>
    <n v="61008"/>
    <s v="OAXACA"/>
  </r>
  <r>
    <x v="9"/>
    <n v="2017"/>
    <x v="1"/>
    <x v="4"/>
    <x v="18"/>
    <x v="0"/>
    <x v="0"/>
    <n v="0"/>
    <n v="0"/>
    <n v="6"/>
    <n v="0"/>
    <n v="0"/>
    <n v="0"/>
    <n v="0"/>
    <n v="0"/>
    <n v="0"/>
    <n v="0"/>
    <n v="0"/>
    <n v="0"/>
    <n v="6"/>
    <n v="6"/>
    <n v="1"/>
    <n v="15744"/>
    <n v="15744"/>
    <s v="AMGEN"/>
    <n v="2624"/>
    <x v="9"/>
    <n v="0"/>
    <d v="2017-03-13T00:00:00"/>
    <d v="2017-04-13T00:00:00"/>
    <s v="GRUPO FARMACOS ESPECIALIZADOS SA DE CV"/>
    <n v="0"/>
    <n v="0"/>
    <n v="6"/>
    <n v="6"/>
    <n v="1"/>
    <n v="15744"/>
    <n v="15744"/>
    <s v="OAXACA"/>
  </r>
  <r>
    <x v="10"/>
    <n v="2017"/>
    <x v="1"/>
    <x v="4"/>
    <x v="18"/>
    <x v="0"/>
    <x v="0"/>
    <n v="0"/>
    <n v="0"/>
    <n v="21"/>
    <n v="0"/>
    <n v="0"/>
    <n v="0"/>
    <n v="0"/>
    <n v="0"/>
    <n v="0"/>
    <n v="0"/>
    <n v="0"/>
    <n v="0"/>
    <n v="21"/>
    <n v="21"/>
    <n v="1"/>
    <n v="55104"/>
    <n v="55104"/>
    <s v="AMGEN"/>
    <n v="2624"/>
    <x v="10"/>
    <n v="0"/>
    <d v="2017-03-15T00:00:00"/>
    <d v="2017-04-15T00:00:00"/>
    <s v="GRUPO FARMACOS ESPECIALIZADOS SA DE CV"/>
    <n v="0"/>
    <n v="0"/>
    <n v="21"/>
    <n v="21"/>
    <n v="1"/>
    <n v="55104"/>
    <n v="55104"/>
    <s v="OAXACA"/>
  </r>
  <r>
    <x v="11"/>
    <n v="2017"/>
    <x v="1"/>
    <x v="4"/>
    <x v="18"/>
    <x v="0"/>
    <x v="0"/>
    <n v="0"/>
    <n v="0"/>
    <n v="0"/>
    <n v="6"/>
    <n v="0"/>
    <n v="0"/>
    <n v="0"/>
    <n v="0"/>
    <n v="0"/>
    <n v="0"/>
    <n v="0"/>
    <n v="0"/>
    <n v="6"/>
    <n v="6"/>
    <n v="1"/>
    <n v="15744"/>
    <n v="15744"/>
    <s v="AMGEN"/>
    <n v="2624"/>
    <x v="11"/>
    <n v="0"/>
    <d v="2017-04-10T00:00:00"/>
    <d v="2017-05-10T00:00:00"/>
    <s v="GRUPO FARMACOS ESPECIALIZADOS SA DE CV"/>
    <n v="0"/>
    <n v="0"/>
    <n v="6"/>
    <n v="6"/>
    <n v="1"/>
    <n v="15744"/>
    <n v="15744"/>
    <s v="OAXACA"/>
  </r>
  <r>
    <x v="12"/>
    <n v="2017"/>
    <x v="1"/>
    <x v="4"/>
    <x v="18"/>
    <x v="0"/>
    <x v="0"/>
    <n v="0"/>
    <n v="0"/>
    <n v="0"/>
    <n v="3"/>
    <n v="0"/>
    <n v="0"/>
    <n v="0"/>
    <n v="0"/>
    <n v="0"/>
    <n v="0"/>
    <n v="0"/>
    <n v="0"/>
    <n v="3"/>
    <n v="3"/>
    <n v="1"/>
    <n v="7872"/>
    <n v="7872"/>
    <s v="AMGEN"/>
    <n v="2624"/>
    <x v="12"/>
    <n v="0"/>
    <d v="2017-04-18T00:00:00"/>
    <d v="2017-05-18T00:00:00"/>
    <s v="GRUPO FARMACOS ESPECIALIZADOS SA DE CV"/>
    <n v="0"/>
    <n v="0"/>
    <n v="3"/>
    <n v="3"/>
    <n v="1"/>
    <n v="7872"/>
    <n v="7872"/>
    <s v="OAXACA"/>
  </r>
  <r>
    <x v="13"/>
    <n v="2017"/>
    <x v="1"/>
    <x v="4"/>
    <x v="18"/>
    <x v="0"/>
    <x v="0"/>
    <n v="0"/>
    <n v="0"/>
    <n v="0"/>
    <n v="0"/>
    <n v="12"/>
    <n v="0"/>
    <n v="0"/>
    <n v="0"/>
    <n v="0"/>
    <n v="0"/>
    <n v="0"/>
    <n v="0"/>
    <n v="12"/>
    <n v="12"/>
    <n v="1"/>
    <n v="31488"/>
    <n v="31488"/>
    <s v="AMGEN"/>
    <n v="2624"/>
    <x v="13"/>
    <n v="0"/>
    <d v="2017-05-09T00:00:00"/>
    <d v="2017-06-09T00:00:00"/>
    <s v="GRUPO FARMACOS ESPECIALIZADOS SA DE CV"/>
    <n v="0"/>
    <n v="0"/>
    <n v="12"/>
    <n v="12"/>
    <n v="1"/>
    <n v="31488"/>
    <n v="31488"/>
    <s v="OAXACA"/>
  </r>
  <r>
    <x v="14"/>
    <n v="2017"/>
    <x v="1"/>
    <x v="4"/>
    <x v="18"/>
    <x v="1"/>
    <x v="1"/>
    <n v="0"/>
    <n v="0"/>
    <n v="4"/>
    <n v="0"/>
    <n v="0"/>
    <n v="0"/>
    <n v="0"/>
    <n v="0"/>
    <n v="0"/>
    <n v="0"/>
    <n v="0"/>
    <n v="0"/>
    <n v="4"/>
    <n v="4"/>
    <n v="1"/>
    <n v="9326"/>
    <n v="9326"/>
    <s v="AMGEN"/>
    <n v="2331.5"/>
    <x v="14"/>
    <n v="0"/>
    <d v="2017-02-28T00:00:00"/>
    <d v="2017-03-28T00:00:00"/>
    <s v="GRUPO FARMACOS ESPECIALIZADOS SA DE CV"/>
    <n v="0"/>
    <n v="0"/>
    <n v="4"/>
    <n v="4"/>
    <n v="1"/>
    <n v="9326"/>
    <n v="9326"/>
    <s v="OAXACA"/>
  </r>
  <r>
    <x v="15"/>
    <n v="2017"/>
    <x v="1"/>
    <x v="4"/>
    <x v="18"/>
    <x v="1"/>
    <x v="1"/>
    <n v="0"/>
    <n v="0"/>
    <n v="0"/>
    <n v="0"/>
    <n v="2"/>
    <n v="0"/>
    <n v="0"/>
    <n v="0"/>
    <n v="0"/>
    <n v="0"/>
    <n v="0"/>
    <n v="0"/>
    <n v="2"/>
    <n v="2"/>
    <n v="1"/>
    <n v="4663"/>
    <n v="4663"/>
    <s v="AMGEN"/>
    <n v="2331.5"/>
    <x v="15"/>
    <n v="0"/>
    <d v="2017-05-02T00:00:00"/>
    <d v="2017-06-02T00:00:00"/>
    <s v="GRUPO FARMACOS ESPECIALIZADOS SA DE CV"/>
    <n v="0"/>
    <n v="0"/>
    <n v="2"/>
    <n v="2"/>
    <n v="1"/>
    <n v="4663"/>
    <n v="4663"/>
    <s v="OAXACA"/>
  </r>
  <r>
    <x v="16"/>
    <n v="2017"/>
    <x v="1"/>
    <x v="5"/>
    <x v="19"/>
    <x v="6"/>
    <x v="6"/>
    <n v="35"/>
    <n v="35"/>
    <n v="35"/>
    <n v="49"/>
    <n v="0"/>
    <n v="32"/>
    <n v="32"/>
    <n v="32"/>
    <n v="32"/>
    <n v="32"/>
    <n v="32"/>
    <n v="39"/>
    <n v="385"/>
    <n v="385"/>
    <n v="1"/>
    <n v="1704780"/>
    <n v="1704780"/>
    <s v="AMGEN"/>
    <n v="4428"/>
    <x v="16"/>
    <n v="0"/>
    <d v="2017-01-18T00:00:00"/>
    <d v="2017-12-31T00:00:00"/>
    <s v="GRUPO FARMACOS ESPECIALIZADOS SA DE CV"/>
    <n v="0"/>
    <n v="0"/>
    <n v="385"/>
    <n v="385"/>
    <n v="1"/>
    <n v="1704780"/>
    <n v="1704780"/>
    <s v="DISTRITO FEDERAL"/>
  </r>
  <r>
    <x v="16"/>
    <n v="2017"/>
    <x v="1"/>
    <x v="5"/>
    <x v="19"/>
    <x v="1"/>
    <x v="1"/>
    <n v="65"/>
    <n v="65"/>
    <n v="65"/>
    <n v="71"/>
    <n v="0"/>
    <n v="0"/>
    <n v="0"/>
    <n v="0"/>
    <n v="0"/>
    <n v="0"/>
    <n v="0"/>
    <n v="0"/>
    <n v="266"/>
    <n v="665"/>
    <n v="0.4"/>
    <n v="620179"/>
    <n v="1550447.5"/>
    <s v="AMGEN"/>
    <n v="2331.5"/>
    <x v="16"/>
    <n v="399"/>
    <d v="2017-01-18T00:00:00"/>
    <d v="2017-12-31T00:00:00"/>
    <s v="GRUPO FARMACOS ESPECIALIZADOS SA DE CV"/>
    <n v="0"/>
    <n v="0"/>
    <n v="266"/>
    <n v="665"/>
    <n v="0.4"/>
    <n v="620179"/>
    <n v="1550447.5"/>
    <s v="DISTRITO FEDERAL"/>
  </r>
  <r>
    <x v="16"/>
    <n v="2017"/>
    <x v="1"/>
    <x v="5"/>
    <x v="19"/>
    <x v="7"/>
    <x v="7"/>
    <n v="32"/>
    <n v="32"/>
    <n v="32"/>
    <n v="32"/>
    <n v="26"/>
    <n v="32"/>
    <n v="32"/>
    <n v="32"/>
    <n v="32"/>
    <n v="32"/>
    <n v="32"/>
    <n v="39"/>
    <n v="385"/>
    <n v="346"/>
    <n v="1.1127167630057804"/>
    <n v="7058809.4500000002"/>
    <n v="6343761.2199999997"/>
    <s v="AMGEN"/>
    <n v="18334.57"/>
    <x v="16"/>
    <n v="-39"/>
    <d v="2017-01-18T00:00:00"/>
    <d v="2017-12-31T00:00:00"/>
    <s v="GRUPO FARMACOS ESPECIALIZADOS SA DE CV"/>
    <n v="0"/>
    <n v="0"/>
    <n v="385"/>
    <n v="346"/>
    <n v="1.1127167630057804"/>
    <n v="7058809.4500000002"/>
    <n v="6343761.2199999997"/>
    <s v="DISTRITO FEDERAL"/>
  </r>
  <r>
    <x v="17"/>
    <n v="2017"/>
    <x v="2"/>
    <x v="6"/>
    <x v="20"/>
    <x v="3"/>
    <x v="3"/>
    <n v="0"/>
    <n v="0"/>
    <n v="0"/>
    <n v="0"/>
    <n v="0"/>
    <n v="0"/>
    <n v="0"/>
    <n v="0"/>
    <n v="0"/>
    <n v="1"/>
    <n v="0"/>
    <n v="0"/>
    <n v="1"/>
    <n v="1"/>
    <n v="1"/>
    <n v="3655.6"/>
    <n v="3655.6"/>
    <s v="AMGEN"/>
    <n v="3655.6"/>
    <x v="17"/>
    <n v="0"/>
    <d v="2017-10-11T00:00:00"/>
    <d v="2017-11-11T00:00:00"/>
    <s v="GRUPO FARMACOS ESPECIALIZADOS SA DE CV"/>
    <n v="0"/>
    <n v="0"/>
    <n v="1"/>
    <n v="1"/>
    <n v="1"/>
    <n v="3655.6"/>
    <n v="3655.6"/>
    <s v="VERACRUZ"/>
  </r>
  <r>
    <x v="18"/>
    <n v="2017"/>
    <x v="2"/>
    <x v="7"/>
    <x v="21"/>
    <x v="3"/>
    <x v="3"/>
    <n v="0"/>
    <n v="0"/>
    <n v="0"/>
    <n v="0"/>
    <n v="0"/>
    <n v="5"/>
    <n v="10"/>
    <n v="0"/>
    <n v="0"/>
    <n v="0"/>
    <n v="0"/>
    <n v="0"/>
    <n v="15"/>
    <n v="15"/>
    <n v="1"/>
    <n v="54834"/>
    <n v="54834"/>
    <s v="AMGEN"/>
    <n v="3655.6"/>
    <x v="18"/>
    <n v="0"/>
    <d v="2017-05-12T00:00:00"/>
    <d v="2017-12-31T00:00:00"/>
    <s v="GRUPO FARMACOS ESPECIALIZADOS SA DE CV"/>
    <n v="0"/>
    <n v="0"/>
    <n v="15"/>
    <n v="15"/>
    <n v="1"/>
    <n v="54834"/>
    <n v="54834"/>
    <s v="SINALOA"/>
  </r>
  <r>
    <x v="18"/>
    <n v="2017"/>
    <x v="2"/>
    <x v="7"/>
    <x v="21"/>
    <x v="0"/>
    <x v="0"/>
    <n v="0"/>
    <n v="0"/>
    <n v="0"/>
    <n v="0"/>
    <n v="0"/>
    <n v="10"/>
    <n v="0"/>
    <n v="0"/>
    <n v="0"/>
    <n v="0"/>
    <n v="0"/>
    <n v="0"/>
    <n v="10"/>
    <n v="10"/>
    <n v="1"/>
    <n v="26240"/>
    <n v="26240"/>
    <s v="AMGEN"/>
    <n v="2624"/>
    <x v="18"/>
    <n v="0"/>
    <d v="2017-05-12T00:00:00"/>
    <d v="2017-12-31T00:00:00"/>
    <s v="GRUPO FARMACOS ESPECIALIZADOS SA DE CV"/>
    <n v="0"/>
    <n v="0"/>
    <n v="10"/>
    <n v="10"/>
    <n v="1"/>
    <n v="26240"/>
    <n v="26240"/>
    <s v="SINALOA"/>
  </r>
  <r>
    <x v="18"/>
    <n v="2017"/>
    <x v="2"/>
    <x v="7"/>
    <x v="21"/>
    <x v="8"/>
    <x v="8"/>
    <n v="0"/>
    <n v="0"/>
    <n v="0"/>
    <n v="0"/>
    <n v="0"/>
    <n v="5"/>
    <n v="0"/>
    <n v="0"/>
    <n v="0"/>
    <n v="0"/>
    <n v="0"/>
    <n v="0"/>
    <n v="5"/>
    <n v="5"/>
    <n v="1"/>
    <n v="21600"/>
    <n v="21600"/>
    <s v="AMGEN"/>
    <n v="4320"/>
    <x v="18"/>
    <n v="0"/>
    <d v="2017-05-12T00:00:00"/>
    <d v="2017-12-31T00:00:00"/>
    <s v="GRUPO FARMACOS ESPECIALIZADOS SA DE CV"/>
    <n v="0"/>
    <n v="0"/>
    <n v="5"/>
    <n v="5"/>
    <n v="1"/>
    <n v="21600"/>
    <n v="21600"/>
    <s v="SINALOA"/>
  </r>
  <r>
    <x v="18"/>
    <n v="2017"/>
    <x v="2"/>
    <x v="7"/>
    <x v="21"/>
    <x v="9"/>
    <x v="9"/>
    <n v="0"/>
    <n v="0"/>
    <n v="0"/>
    <n v="0"/>
    <n v="0"/>
    <n v="2"/>
    <n v="0"/>
    <n v="0"/>
    <n v="0"/>
    <n v="0"/>
    <n v="0"/>
    <n v="0"/>
    <n v="2"/>
    <n v="2"/>
    <n v="1"/>
    <n v="9468"/>
    <n v="9468"/>
    <s v="AMGEN"/>
    <n v="4734"/>
    <x v="18"/>
    <n v="0"/>
    <d v="2017-05-12T00:00:00"/>
    <d v="2017-12-31T00:00:00"/>
    <s v="GRUPO FARMACOS ESPECIALIZADOS SA DE CV"/>
    <n v="0"/>
    <n v="0"/>
    <n v="2"/>
    <n v="2"/>
    <n v="1"/>
    <n v="9468"/>
    <n v="9468"/>
    <s v="SINALOA"/>
  </r>
  <r>
    <x v="19"/>
    <n v="2017"/>
    <x v="2"/>
    <x v="8"/>
    <x v="22"/>
    <x v="10"/>
    <x v="10"/>
    <n v="0"/>
    <n v="0"/>
    <n v="5"/>
    <n v="0"/>
    <n v="0"/>
    <n v="0"/>
    <n v="0"/>
    <n v="0"/>
    <n v="0"/>
    <n v="0"/>
    <n v="0"/>
    <n v="0"/>
    <n v="5"/>
    <n v="5"/>
    <n v="1"/>
    <n v="67967.899999999994"/>
    <n v="67967.899999999994"/>
    <s v="AMGEN"/>
    <n v="13593.58"/>
    <x v="19"/>
    <n v="0"/>
    <d v="2017-02-24T00:00:00"/>
    <d v="2017-03-24T00:00:00"/>
    <s v="GRUPO FARMACOS ESPECIALIZADOS SA DE CV"/>
    <n v="0"/>
    <n v="0"/>
    <n v="5"/>
    <n v="5"/>
    <n v="1"/>
    <n v="67967.899999999994"/>
    <n v="67967.899999999994"/>
    <s v="OAXACA"/>
  </r>
  <r>
    <x v="20"/>
    <n v="2017"/>
    <x v="2"/>
    <x v="8"/>
    <x v="22"/>
    <x v="10"/>
    <x v="10"/>
    <n v="0"/>
    <n v="0"/>
    <n v="0"/>
    <n v="0"/>
    <n v="0"/>
    <n v="5"/>
    <n v="0"/>
    <n v="0"/>
    <n v="0"/>
    <n v="0"/>
    <n v="0"/>
    <n v="0"/>
    <n v="5"/>
    <n v="5"/>
    <n v="1"/>
    <n v="67965"/>
    <n v="67965"/>
    <s v="AMGEN"/>
    <n v="13593"/>
    <x v="20"/>
    <n v="0"/>
    <d v="2017-06-13T00:00:00"/>
    <d v="2017-07-13T00:00:00"/>
    <s v="GRUPO FARMACOS ESPECIALIZADOS SA DE CV"/>
    <n v="0"/>
    <n v="0"/>
    <n v="5"/>
    <n v="5"/>
    <n v="1"/>
    <n v="67965"/>
    <n v="67965"/>
    <s v="OAXACA"/>
  </r>
  <r>
    <x v="21"/>
    <n v="2017"/>
    <x v="2"/>
    <x v="8"/>
    <x v="22"/>
    <x v="10"/>
    <x v="10"/>
    <n v="0"/>
    <n v="0"/>
    <n v="0"/>
    <n v="0"/>
    <n v="0"/>
    <n v="0"/>
    <n v="0"/>
    <n v="0"/>
    <n v="0"/>
    <n v="5"/>
    <n v="0"/>
    <n v="0"/>
    <n v="5"/>
    <n v="5"/>
    <n v="1"/>
    <n v="67965"/>
    <n v="67965"/>
    <s v="AMGEN"/>
    <n v="13593"/>
    <x v="21"/>
    <n v="0"/>
    <d v="2017-09-26T00:00:00"/>
    <d v="2017-10-26T00:00:00"/>
    <s v="GRUPO FARMACOS ESPECIALIZADOS SA DE CV"/>
    <n v="0"/>
    <n v="0"/>
    <n v="5"/>
    <n v="5"/>
    <n v="1"/>
    <n v="67965"/>
    <n v="67965"/>
    <s v="OAXACA"/>
  </r>
  <r>
    <x v="22"/>
    <n v="2017"/>
    <x v="2"/>
    <x v="8"/>
    <x v="22"/>
    <x v="10"/>
    <x v="10"/>
    <n v="0"/>
    <n v="0"/>
    <n v="0"/>
    <n v="0"/>
    <n v="0"/>
    <n v="0"/>
    <n v="0"/>
    <n v="0"/>
    <n v="8"/>
    <n v="0"/>
    <n v="0"/>
    <n v="0"/>
    <n v="8"/>
    <n v="8"/>
    <n v="1"/>
    <n v="108748.64"/>
    <n v="108748.64"/>
    <s v="AMGEN"/>
    <n v="13593.58"/>
    <x v="22"/>
    <n v="0"/>
    <d v="2017-09-13T00:00:00"/>
    <d v="2017-10-13T00:00:00"/>
    <s v="GRUPO FARMACOS ESPECIALIZADOS SA DE CV"/>
    <n v="0"/>
    <n v="0"/>
    <n v="8"/>
    <n v="8"/>
    <n v="1"/>
    <n v="108748.64"/>
    <n v="108748.64"/>
    <s v="OAXACA"/>
  </r>
  <r>
    <x v="23"/>
    <n v="2017"/>
    <x v="2"/>
    <x v="9"/>
    <x v="23"/>
    <x v="7"/>
    <x v="7"/>
    <n v="0"/>
    <n v="0"/>
    <n v="0"/>
    <n v="0"/>
    <n v="0"/>
    <n v="6"/>
    <n v="0"/>
    <n v="0"/>
    <n v="0"/>
    <n v="0"/>
    <n v="0"/>
    <n v="0"/>
    <n v="6"/>
    <n v="6"/>
    <n v="1"/>
    <n v="110007.42"/>
    <n v="110007.42"/>
    <s v="AMGEN"/>
    <n v="18334.57"/>
    <x v="23"/>
    <n v="0"/>
    <d v="2017-06-09T00:00:00"/>
    <d v="2017-07-06T00:00:00"/>
    <s v="GRUPO FARMACOS ESPECIALIZADOS SA DE CV"/>
    <n v="0"/>
    <n v="0"/>
    <n v="6"/>
    <n v="6"/>
    <n v="1"/>
    <n v="110007.42"/>
    <n v="110007.42"/>
    <s v="DISTRITO FEDERAL"/>
  </r>
  <r>
    <x v="24"/>
    <n v="2017"/>
    <x v="2"/>
    <x v="9"/>
    <x v="23"/>
    <x v="7"/>
    <x v="7"/>
    <n v="0"/>
    <n v="0"/>
    <n v="0"/>
    <n v="0"/>
    <n v="0"/>
    <n v="0"/>
    <n v="6"/>
    <n v="0"/>
    <n v="0"/>
    <n v="0"/>
    <n v="0"/>
    <n v="0"/>
    <n v="6"/>
    <n v="6"/>
    <n v="1"/>
    <n v="110007.42"/>
    <n v="110007.42"/>
    <s v="AMGEN"/>
    <n v="18334.57"/>
    <x v="24"/>
    <n v="0"/>
    <d v="2017-07-13T00:00:00"/>
    <d v="2017-08-13T00:00:00"/>
    <s v="GRUPO FARMACOS ESPECIALIZADOS SA DE CV"/>
    <n v="0"/>
    <n v="0"/>
    <n v="6"/>
    <n v="6"/>
    <n v="1"/>
    <n v="110007.42"/>
    <n v="110007.42"/>
    <s v="DISTRITO FEDERAL"/>
  </r>
  <r>
    <x v="25"/>
    <n v="2017"/>
    <x v="2"/>
    <x v="9"/>
    <x v="23"/>
    <x v="7"/>
    <x v="7"/>
    <n v="0"/>
    <n v="0"/>
    <n v="0"/>
    <n v="0"/>
    <n v="0"/>
    <n v="0"/>
    <n v="0"/>
    <n v="0"/>
    <n v="6"/>
    <n v="0"/>
    <n v="0"/>
    <n v="0"/>
    <n v="6"/>
    <n v="6"/>
    <n v="1"/>
    <n v="110007.42"/>
    <n v="110007.42"/>
    <s v="AMGEN"/>
    <n v="18334.57"/>
    <x v="25"/>
    <n v="0"/>
    <d v="2017-09-06T00:00:00"/>
    <d v="2017-10-06T00:00:00"/>
    <s v="GRUPO FARMACOS ESPECIALIZADOS SA DE CV"/>
    <n v="0"/>
    <n v="0"/>
    <n v="6"/>
    <n v="6"/>
    <n v="1"/>
    <n v="110007.42"/>
    <n v="110007.42"/>
    <s v="DISTRITO FEDERAL"/>
  </r>
  <r>
    <x v="26"/>
    <n v="2017"/>
    <x v="2"/>
    <x v="9"/>
    <x v="23"/>
    <x v="7"/>
    <x v="7"/>
    <n v="0"/>
    <n v="0"/>
    <n v="0"/>
    <n v="0"/>
    <n v="0"/>
    <n v="0"/>
    <n v="0"/>
    <n v="0"/>
    <n v="0"/>
    <n v="6"/>
    <n v="0"/>
    <n v="0"/>
    <n v="6"/>
    <n v="6"/>
    <n v="1"/>
    <n v="110007.42"/>
    <n v="110007.42"/>
    <s v="AMGEN"/>
    <n v="18334.57"/>
    <x v="26"/>
    <n v="0"/>
    <d v="2017-10-05T00:00:00"/>
    <d v="2017-11-05T00:00:00"/>
    <s v="GRUPO FARMACOS ESPECIALIZADOS SA DE CV"/>
    <n v="0"/>
    <n v="0"/>
    <n v="6"/>
    <n v="6"/>
    <n v="1"/>
    <n v="110007.42"/>
    <n v="110007.42"/>
    <s v="DISTRITO FEDERAL"/>
  </r>
  <r>
    <x v="27"/>
    <n v="2017"/>
    <x v="2"/>
    <x v="9"/>
    <x v="23"/>
    <x v="11"/>
    <x v="11"/>
    <n v="0"/>
    <n v="0"/>
    <n v="0"/>
    <n v="0"/>
    <n v="0"/>
    <n v="0"/>
    <n v="0"/>
    <n v="10"/>
    <n v="0"/>
    <n v="0"/>
    <n v="0"/>
    <n v="0"/>
    <n v="10"/>
    <n v="10"/>
    <n v="1"/>
    <n v="37468.300000000003"/>
    <n v="37468.300000000003"/>
    <s v="AMGEN"/>
    <n v="3746.83"/>
    <x v="27"/>
    <n v="0"/>
    <d v="2017-08-16T00:00:00"/>
    <d v="2017-09-16T00:00:00"/>
    <s v="GRUPO FARMACOS ESPECIALIZADOS SA DE CV"/>
    <n v="0"/>
    <n v="0"/>
    <n v="10"/>
    <n v="10"/>
    <n v="1"/>
    <n v="37468.300000000003"/>
    <n v="37468.300000000003"/>
    <s v="DISTRITO FEDERAL"/>
  </r>
  <r>
    <x v="28"/>
    <n v="2017"/>
    <x v="2"/>
    <x v="10"/>
    <x v="24"/>
    <x v="11"/>
    <x v="11"/>
    <n v="0"/>
    <n v="0"/>
    <n v="0"/>
    <n v="0"/>
    <n v="19"/>
    <n v="0"/>
    <n v="0"/>
    <n v="0"/>
    <n v="0"/>
    <n v="0"/>
    <n v="0"/>
    <n v="0"/>
    <n v="19"/>
    <n v="19"/>
    <n v="1"/>
    <n v="71189.77"/>
    <n v="71189.77"/>
    <s v="AMGEN"/>
    <n v="3746.83"/>
    <x v="28"/>
    <n v="0"/>
    <d v="2017-04-12T00:00:00"/>
    <d v="2017-05-12T00:00:00"/>
    <s v="GRUPO FARMACOS ESPECIALIZADOS SA DE CV"/>
    <n v="0"/>
    <n v="0"/>
    <n v="19"/>
    <n v="19"/>
    <n v="1"/>
    <n v="71189.77"/>
    <n v="71189.77"/>
    <s v="DISTRITO FEDERAL"/>
  </r>
  <r>
    <x v="29"/>
    <n v="2017"/>
    <x v="2"/>
    <x v="11"/>
    <x v="25"/>
    <x v="6"/>
    <x v="6"/>
    <n v="0"/>
    <n v="0"/>
    <n v="0"/>
    <n v="0"/>
    <n v="0"/>
    <n v="0"/>
    <n v="0"/>
    <n v="0"/>
    <n v="0"/>
    <n v="2"/>
    <n v="0"/>
    <n v="0"/>
    <n v="2"/>
    <n v="2"/>
    <n v="1"/>
    <n v="8856"/>
    <n v="8856"/>
    <s v="AMGEN"/>
    <n v="4428"/>
    <x v="29"/>
    <n v="0"/>
    <d v="2017-10-23T00:00:00"/>
    <d v="2017-11-23T00:00:00"/>
    <s v="GRUPO FARMACOS ESPECIALIZADOS SA DE CV"/>
    <n v="0"/>
    <n v="0"/>
    <n v="2"/>
    <n v="2"/>
    <n v="1"/>
    <n v="8856"/>
    <n v="8856"/>
    <s v="JALISCO"/>
  </r>
  <r>
    <x v="30"/>
    <n v="2017"/>
    <x v="2"/>
    <x v="11"/>
    <x v="25"/>
    <x v="6"/>
    <x v="6"/>
    <n v="0"/>
    <n v="0"/>
    <n v="3"/>
    <n v="0"/>
    <n v="0"/>
    <n v="0"/>
    <n v="0"/>
    <n v="0"/>
    <n v="0"/>
    <n v="0"/>
    <n v="0"/>
    <n v="0"/>
    <n v="3"/>
    <n v="3"/>
    <n v="1"/>
    <n v="13284"/>
    <n v="13284"/>
    <s v="AMGEN"/>
    <n v="4428"/>
    <x v="30"/>
    <n v="0"/>
    <d v="2017-03-07T00:00:00"/>
    <d v="2017-04-07T00:00:00"/>
    <s v="GRUPO FARMACOS ESPECIALIZADOS SA DE CV"/>
    <n v="0"/>
    <n v="0"/>
    <n v="3"/>
    <n v="3"/>
    <n v="1"/>
    <n v="13284"/>
    <n v="13284"/>
    <s v="JALISCO"/>
  </r>
  <r>
    <x v="31"/>
    <n v="2017"/>
    <x v="2"/>
    <x v="11"/>
    <x v="25"/>
    <x v="6"/>
    <x v="6"/>
    <n v="0"/>
    <n v="0"/>
    <n v="0"/>
    <n v="0"/>
    <n v="3"/>
    <n v="0"/>
    <n v="0"/>
    <n v="0"/>
    <n v="0"/>
    <n v="0"/>
    <n v="0"/>
    <n v="0"/>
    <n v="3"/>
    <n v="3"/>
    <n v="1"/>
    <n v="13284"/>
    <n v="13284"/>
    <s v="AMGEN"/>
    <n v="4428"/>
    <x v="31"/>
    <n v="0"/>
    <d v="2017-05-15T00:00:00"/>
    <d v="2017-06-15T00:00:00"/>
    <s v="GRUPO FARMACOS ESPECIALIZADOS SA DE CV"/>
    <n v="0"/>
    <n v="0"/>
    <n v="3"/>
    <n v="3"/>
    <n v="1"/>
    <n v="13284"/>
    <n v="13284"/>
    <s v="JALISCO"/>
  </r>
  <r>
    <x v="32"/>
    <n v="2017"/>
    <x v="2"/>
    <x v="11"/>
    <x v="25"/>
    <x v="6"/>
    <x v="6"/>
    <n v="0"/>
    <n v="0"/>
    <n v="0"/>
    <n v="0"/>
    <n v="0"/>
    <n v="3"/>
    <n v="0"/>
    <n v="0"/>
    <n v="0"/>
    <n v="0"/>
    <n v="0"/>
    <n v="0"/>
    <n v="3"/>
    <n v="3"/>
    <n v="1"/>
    <n v="13284"/>
    <n v="13284"/>
    <s v="AMGEN"/>
    <n v="4428"/>
    <x v="32"/>
    <n v="0"/>
    <d v="2017-06-15T00:00:00"/>
    <d v="2017-08-15T00:00:00"/>
    <s v="GRUPO FARMACOS ESPECIALIZADOS SA DE CV"/>
    <n v="0"/>
    <n v="0"/>
    <n v="3"/>
    <n v="3"/>
    <n v="1"/>
    <n v="13284"/>
    <n v="13284"/>
    <s v="JALISCO"/>
  </r>
  <r>
    <x v="33"/>
    <n v="2017"/>
    <x v="2"/>
    <x v="11"/>
    <x v="25"/>
    <x v="6"/>
    <x v="6"/>
    <n v="0"/>
    <n v="0"/>
    <n v="0"/>
    <n v="0"/>
    <n v="0"/>
    <n v="0"/>
    <n v="0"/>
    <n v="0"/>
    <n v="0"/>
    <n v="0"/>
    <n v="0"/>
    <n v="3"/>
    <n v="3"/>
    <n v="3"/>
    <n v="1"/>
    <n v="13284"/>
    <n v="13284"/>
    <s v="AMGEN"/>
    <n v="4428"/>
    <x v="33"/>
    <n v="0"/>
    <d v="2017-12-22T00:00:00"/>
    <d v="2017-12-26T00:00:00"/>
    <s v="GRUPO FARMACOS ESPECIALIZADOS SA DE CV"/>
    <n v="0"/>
    <n v="0"/>
    <n v="3"/>
    <n v="3"/>
    <n v="1"/>
    <n v="13284"/>
    <n v="13284"/>
    <s v="JALISCO"/>
  </r>
  <r>
    <x v="34"/>
    <n v="2017"/>
    <x v="2"/>
    <x v="11"/>
    <x v="25"/>
    <x v="7"/>
    <x v="7"/>
    <n v="0"/>
    <n v="0"/>
    <n v="0"/>
    <n v="0"/>
    <n v="0"/>
    <n v="0"/>
    <n v="0"/>
    <n v="0"/>
    <n v="6"/>
    <n v="0"/>
    <n v="0"/>
    <n v="0"/>
    <n v="6"/>
    <n v="6"/>
    <n v="1"/>
    <n v="110007.42"/>
    <n v="110007.42"/>
    <s v="AMGEN"/>
    <n v="18334.57"/>
    <x v="34"/>
    <n v="0"/>
    <d v="2017-09-08T00:00:00"/>
    <d v="2017-10-08T00:00:00"/>
    <s v="GRUPO FARMACOS ESPECIALIZADOS SA DE CV"/>
    <n v="0"/>
    <n v="0"/>
    <n v="6"/>
    <n v="6"/>
    <n v="1"/>
    <n v="110007.42"/>
    <n v="110007.42"/>
    <s v="JALISCO"/>
  </r>
  <r>
    <x v="35"/>
    <n v="2017"/>
    <x v="2"/>
    <x v="11"/>
    <x v="25"/>
    <x v="7"/>
    <x v="7"/>
    <n v="0"/>
    <n v="0"/>
    <n v="0"/>
    <n v="0"/>
    <n v="0"/>
    <n v="0"/>
    <n v="0"/>
    <n v="0"/>
    <n v="0"/>
    <n v="0"/>
    <n v="0"/>
    <n v="6"/>
    <n v="6"/>
    <n v="6"/>
    <n v="1"/>
    <n v="110007.42"/>
    <n v="110007.42"/>
    <s v="AMGEN"/>
    <n v="18334.57"/>
    <x v="35"/>
    <n v="0"/>
    <d v="2017-11-21T00:00:00"/>
    <d v="2017-12-10T00:00:00"/>
    <s v="GRUPO FARMACOS ESPECIALIZADOS SA DE CV"/>
    <n v="0"/>
    <n v="0"/>
    <n v="6"/>
    <n v="6"/>
    <n v="1"/>
    <n v="110007.42"/>
    <n v="110007.42"/>
    <s v="JALISCO"/>
  </r>
  <r>
    <x v="36"/>
    <n v="2017"/>
    <x v="2"/>
    <x v="11"/>
    <x v="25"/>
    <x v="9"/>
    <x v="9"/>
    <n v="0"/>
    <n v="0"/>
    <n v="8"/>
    <n v="0"/>
    <n v="0"/>
    <n v="0"/>
    <n v="0"/>
    <n v="0"/>
    <n v="0"/>
    <n v="0"/>
    <n v="0"/>
    <n v="0"/>
    <n v="8"/>
    <n v="8"/>
    <n v="1"/>
    <n v="37872"/>
    <n v="37872"/>
    <s v="AMGEN"/>
    <n v="4734"/>
    <x v="36"/>
    <n v="0"/>
    <d v="2017-03-03T00:00:00"/>
    <d v="2017-04-03T00:00:00"/>
    <s v="GRUPO FARMACOS ESPECIALIZADOS SA DE CV"/>
    <n v="0"/>
    <n v="0"/>
    <n v="8"/>
    <n v="8"/>
    <n v="1"/>
    <n v="37872"/>
    <n v="37872"/>
    <s v="JALISCO"/>
  </r>
  <r>
    <x v="32"/>
    <n v="2017"/>
    <x v="2"/>
    <x v="11"/>
    <x v="25"/>
    <x v="9"/>
    <x v="9"/>
    <n v="0"/>
    <n v="0"/>
    <n v="0"/>
    <n v="0"/>
    <n v="0"/>
    <n v="12"/>
    <n v="0"/>
    <n v="0"/>
    <n v="0"/>
    <n v="0"/>
    <n v="0"/>
    <n v="0"/>
    <n v="12"/>
    <n v="12"/>
    <n v="1"/>
    <n v="56808"/>
    <n v="56808"/>
    <s v="AMGEN"/>
    <n v="4734"/>
    <x v="32"/>
    <n v="0"/>
    <d v="2017-06-15T00:00:00"/>
    <d v="2017-08-15T00:00:00"/>
    <s v="GRUPO FARMACOS ESPECIALIZADOS SA DE CV"/>
    <n v="0"/>
    <n v="0"/>
    <n v="12"/>
    <n v="12"/>
    <n v="1"/>
    <n v="56808"/>
    <n v="56808"/>
    <s v="JALISCO"/>
  </r>
  <r>
    <x v="37"/>
    <n v="2017"/>
    <x v="2"/>
    <x v="11"/>
    <x v="25"/>
    <x v="9"/>
    <x v="9"/>
    <n v="0"/>
    <n v="0"/>
    <n v="0"/>
    <n v="0"/>
    <n v="0"/>
    <n v="0"/>
    <n v="0"/>
    <n v="8"/>
    <n v="0"/>
    <n v="0"/>
    <n v="0"/>
    <n v="0"/>
    <n v="8"/>
    <n v="8"/>
    <n v="1"/>
    <n v="37872"/>
    <n v="37872"/>
    <s v="AMGEN"/>
    <n v="4734"/>
    <x v="37"/>
    <n v="0"/>
    <d v="2017-08-16T00:00:00"/>
    <d v="2017-09-16T00:00:00"/>
    <s v="GRUPO FARMACOS ESPECIALIZADOS SA DE CV"/>
    <n v="0"/>
    <n v="0"/>
    <n v="8"/>
    <n v="8"/>
    <n v="1"/>
    <n v="37872"/>
    <n v="37872"/>
    <s v="JALISCO"/>
  </r>
  <r>
    <x v="38"/>
    <n v="2017"/>
    <x v="2"/>
    <x v="11"/>
    <x v="25"/>
    <x v="9"/>
    <x v="9"/>
    <n v="0"/>
    <n v="0"/>
    <n v="0"/>
    <n v="0"/>
    <n v="0"/>
    <n v="0"/>
    <n v="0"/>
    <n v="0"/>
    <n v="0"/>
    <n v="0"/>
    <n v="0"/>
    <n v="8"/>
    <n v="8"/>
    <n v="8"/>
    <n v="1"/>
    <n v="37872"/>
    <n v="37872"/>
    <s v="AMGEN"/>
    <n v="4734"/>
    <x v="33"/>
    <n v="0"/>
    <d v="2017-12-22T00:00:00"/>
    <d v="2017-12-26T00:00:00"/>
    <s v="GRUPO FARMACOS ESPECIALIZADOS SA DE CV"/>
    <n v="0"/>
    <n v="0"/>
    <n v="8"/>
    <n v="8"/>
    <n v="1"/>
    <n v="37872"/>
    <n v="37872"/>
    <s v="JALISCO"/>
  </r>
  <r>
    <x v="39"/>
    <n v="2017"/>
    <x v="2"/>
    <x v="11"/>
    <x v="25"/>
    <x v="9"/>
    <x v="12"/>
    <n v="0"/>
    <n v="0"/>
    <n v="0"/>
    <n v="0"/>
    <n v="0"/>
    <n v="0"/>
    <n v="0"/>
    <n v="0"/>
    <n v="0"/>
    <n v="0"/>
    <n v="0"/>
    <n v="12"/>
    <n v="12"/>
    <n v="12"/>
    <n v="1"/>
    <n v="56808"/>
    <n v="56808"/>
    <s v="AMGEN"/>
    <n v="4734"/>
    <x v="38"/>
    <n v="0"/>
    <d v="2017-12-01T00:00:00"/>
    <d v="2017-12-22T00:00:00"/>
    <s v="GRUPO FARMACOS ESPECIALIZADOS SA DE CV"/>
    <n v="0"/>
    <n v="0"/>
    <n v="12"/>
    <n v="12"/>
    <n v="1"/>
    <n v="56808"/>
    <n v="56808"/>
    <s v="JALISCO"/>
  </r>
  <r>
    <x v="40"/>
    <n v="2017"/>
    <x v="2"/>
    <x v="11"/>
    <x v="26"/>
    <x v="6"/>
    <x v="6"/>
    <n v="0"/>
    <n v="0"/>
    <n v="0"/>
    <n v="0"/>
    <n v="0"/>
    <n v="0"/>
    <n v="0"/>
    <n v="0"/>
    <n v="0"/>
    <n v="3"/>
    <n v="0"/>
    <n v="0"/>
    <n v="3"/>
    <n v="3"/>
    <n v="1"/>
    <n v="13284"/>
    <n v="13284"/>
    <s v="AMGEN"/>
    <n v="4428"/>
    <x v="39"/>
    <n v="0"/>
    <d v="2017-10-12T00:00:00"/>
    <d v="2017-11-10T00:00:00"/>
    <s v="GRUPO FARMACOS ESPECIALIZADOS SA DE CV"/>
    <n v="0"/>
    <n v="0"/>
    <n v="3"/>
    <n v="3"/>
    <n v="1"/>
    <n v="13284"/>
    <n v="13284"/>
    <s v="JALISCO"/>
  </r>
  <r>
    <x v="41"/>
    <n v="2017"/>
    <x v="2"/>
    <x v="11"/>
    <x v="26"/>
    <x v="9"/>
    <x v="9"/>
    <n v="0"/>
    <n v="0"/>
    <n v="0"/>
    <n v="0"/>
    <n v="0"/>
    <n v="0"/>
    <n v="0"/>
    <n v="0"/>
    <n v="8"/>
    <n v="0"/>
    <n v="0"/>
    <n v="0"/>
    <n v="8"/>
    <n v="8"/>
    <n v="1"/>
    <n v="37872"/>
    <n v="37872"/>
    <s v="AMGEN"/>
    <n v="4734"/>
    <x v="40"/>
    <n v="0"/>
    <d v="2017-09-04T00:00:00"/>
    <d v="2017-10-04T00:00:00"/>
    <s v="GRUPO FARMACOS ESPECIALIZADOS SA DE CV"/>
    <n v="0"/>
    <n v="0"/>
    <n v="8"/>
    <n v="8"/>
    <n v="1"/>
    <n v="37872"/>
    <n v="37872"/>
    <s v="JALISCO"/>
  </r>
  <r>
    <x v="42"/>
    <n v="2017"/>
    <x v="2"/>
    <x v="11"/>
    <x v="26"/>
    <x v="9"/>
    <x v="9"/>
    <n v="0"/>
    <n v="0"/>
    <n v="0"/>
    <n v="8"/>
    <n v="0"/>
    <n v="0"/>
    <n v="0"/>
    <n v="0"/>
    <n v="0"/>
    <n v="0"/>
    <n v="0"/>
    <n v="0"/>
    <n v="8"/>
    <n v="8"/>
    <n v="1"/>
    <n v="37872"/>
    <n v="37872"/>
    <s v="AMGEN"/>
    <n v="4734"/>
    <x v="41"/>
    <n v="0"/>
    <d v="2017-03-17T00:00:00"/>
    <d v="2017-04-17T00:00:00"/>
    <s v="GRUPO FARMACOS ESPECIALIZADOS SA DE CV"/>
    <n v="0"/>
    <n v="0"/>
    <n v="8"/>
    <n v="8"/>
    <n v="1"/>
    <n v="37872"/>
    <n v="37872"/>
    <s v="JALISCO"/>
  </r>
  <r>
    <x v="43"/>
    <n v="2017"/>
    <x v="2"/>
    <x v="11"/>
    <x v="26"/>
    <x v="9"/>
    <x v="9"/>
    <n v="0"/>
    <n v="0"/>
    <n v="8"/>
    <n v="0"/>
    <n v="0"/>
    <n v="0"/>
    <n v="0"/>
    <n v="0"/>
    <n v="0"/>
    <n v="0"/>
    <n v="0"/>
    <n v="0"/>
    <n v="8"/>
    <n v="8"/>
    <n v="1"/>
    <n v="37872"/>
    <n v="37872"/>
    <s v="AMGEN"/>
    <n v="4734"/>
    <x v="42"/>
    <n v="0"/>
    <d v="2017-03-22T00:00:00"/>
    <d v="2017-04-22T00:00:00"/>
    <s v="GRUPO FARMACOS ESPECIALIZADOS SA DE CV"/>
    <n v="0"/>
    <n v="0"/>
    <n v="8"/>
    <n v="8"/>
    <n v="1"/>
    <n v="37872"/>
    <n v="37872"/>
    <s v="JALISCO"/>
  </r>
  <r>
    <x v="44"/>
    <n v="2017"/>
    <x v="2"/>
    <x v="11"/>
    <x v="26"/>
    <x v="9"/>
    <x v="12"/>
    <n v="0"/>
    <n v="0"/>
    <n v="0"/>
    <n v="0"/>
    <n v="0"/>
    <n v="0"/>
    <n v="0"/>
    <n v="0"/>
    <n v="0"/>
    <n v="12"/>
    <n v="0"/>
    <n v="0"/>
    <n v="12"/>
    <n v="12"/>
    <n v="1"/>
    <n v="56808"/>
    <n v="56808"/>
    <s v="AMGEN"/>
    <n v="4734"/>
    <x v="43"/>
    <n v="0"/>
    <d v="2017-09-25T00:00:00"/>
    <d v="2017-10-25T00:00:00"/>
    <s v="GRUPO FARMACOS ESPECIALIZADOS SA DE CV"/>
    <n v="0"/>
    <n v="0"/>
    <n v="12"/>
    <n v="12"/>
    <n v="1"/>
    <n v="56808"/>
    <n v="56808"/>
    <s v="JALISCO"/>
  </r>
  <r>
    <x v="45"/>
    <n v="2017"/>
    <x v="2"/>
    <x v="11"/>
    <x v="27"/>
    <x v="6"/>
    <x v="6"/>
    <n v="0"/>
    <n v="0"/>
    <n v="0"/>
    <n v="0"/>
    <n v="0"/>
    <n v="0"/>
    <n v="0"/>
    <n v="0"/>
    <n v="0"/>
    <n v="0"/>
    <n v="0"/>
    <n v="3"/>
    <n v="3"/>
    <n v="3"/>
    <n v="1"/>
    <n v="13284"/>
    <n v="13284"/>
    <s v="AMGEN"/>
    <n v="4428"/>
    <x v="44"/>
    <n v="0"/>
    <d v="2017-11-29T00:00:00"/>
    <d v="2017-12-10T00:00:00"/>
    <s v="GRUPO FARMACOS ESPECIALIZADOS SA DE CV"/>
    <n v="0"/>
    <n v="0"/>
    <n v="3"/>
    <n v="3"/>
    <n v="1"/>
    <n v="13284"/>
    <n v="13284"/>
    <s v="JALISCO"/>
  </r>
  <r>
    <x v="46"/>
    <n v="2017"/>
    <x v="2"/>
    <x v="11"/>
    <x v="27"/>
    <x v="6"/>
    <x v="6"/>
    <n v="0"/>
    <n v="3"/>
    <n v="0"/>
    <n v="0"/>
    <n v="0"/>
    <n v="0"/>
    <n v="0"/>
    <n v="0"/>
    <n v="0"/>
    <n v="0"/>
    <n v="0"/>
    <n v="0"/>
    <n v="3"/>
    <n v="3"/>
    <n v="1"/>
    <n v="13284"/>
    <n v="13284"/>
    <s v="AMGEN"/>
    <n v="4428"/>
    <x v="45"/>
    <n v="0"/>
    <d v="2017-02-09T00:00:00"/>
    <d v="2017-03-09T00:00:00"/>
    <s v="GRUPO FARMACOS ESPECIALIZADOS SA DE CV"/>
    <n v="0"/>
    <n v="0"/>
    <n v="3"/>
    <n v="3"/>
    <n v="1"/>
    <n v="13284"/>
    <n v="13284"/>
    <s v="JALISCO"/>
  </r>
  <r>
    <x v="47"/>
    <n v="2017"/>
    <x v="2"/>
    <x v="11"/>
    <x v="27"/>
    <x v="6"/>
    <x v="6"/>
    <n v="0"/>
    <n v="0"/>
    <n v="0"/>
    <n v="0"/>
    <n v="0"/>
    <n v="0"/>
    <n v="0"/>
    <n v="0"/>
    <n v="3"/>
    <n v="0"/>
    <n v="0"/>
    <n v="0"/>
    <n v="3"/>
    <n v="3"/>
    <n v="1"/>
    <n v="13284"/>
    <n v="13284"/>
    <s v="AMGEN"/>
    <n v="4428"/>
    <x v="46"/>
    <n v="0"/>
    <d v="2017-09-15T00:00:00"/>
    <d v="2017-10-15T00:00:00"/>
    <s v="GRUPO FARMACOS ESPECIALIZADOS SA DE CV"/>
    <n v="0"/>
    <n v="0"/>
    <n v="3"/>
    <n v="3"/>
    <n v="1"/>
    <n v="13284"/>
    <n v="13284"/>
    <s v="JALISCO"/>
  </r>
  <r>
    <x v="48"/>
    <n v="2017"/>
    <x v="2"/>
    <x v="11"/>
    <x v="27"/>
    <x v="7"/>
    <x v="7"/>
    <n v="0"/>
    <n v="0"/>
    <n v="0"/>
    <n v="0"/>
    <n v="6"/>
    <n v="0"/>
    <n v="0"/>
    <n v="0"/>
    <n v="0"/>
    <n v="0"/>
    <n v="0"/>
    <n v="0"/>
    <n v="6"/>
    <n v="6"/>
    <n v="1"/>
    <n v="110007.42"/>
    <n v="110007.42"/>
    <s v="AMGEN"/>
    <n v="18334.57"/>
    <x v="47"/>
    <n v="0"/>
    <d v="2017-05-17T00:00:00"/>
    <d v="2017-06-17T00:00:00"/>
    <s v="GRUPO FARMACOS ESPECIALIZADOS SA DE CV"/>
    <n v="0"/>
    <n v="0"/>
    <n v="6"/>
    <n v="6"/>
    <n v="1"/>
    <n v="110007.42"/>
    <n v="110007.42"/>
    <s v="JALISCO"/>
  </r>
  <r>
    <x v="49"/>
    <n v="2017"/>
    <x v="2"/>
    <x v="11"/>
    <x v="27"/>
    <x v="7"/>
    <x v="7"/>
    <n v="0"/>
    <n v="0"/>
    <n v="0"/>
    <n v="0"/>
    <n v="0"/>
    <n v="0"/>
    <n v="6"/>
    <n v="0"/>
    <n v="0"/>
    <n v="0"/>
    <n v="0"/>
    <n v="0"/>
    <n v="6"/>
    <n v="6"/>
    <n v="1"/>
    <n v="110007.42"/>
    <n v="110007.42"/>
    <s v="AMGEN"/>
    <n v="18334.57"/>
    <x v="48"/>
    <n v="0"/>
    <d v="2017-07-10T00:00:00"/>
    <d v="2017-08-10T00:00:00"/>
    <s v="GRUPO FARMACOS ESPECIALIZADOS SA DE CV"/>
    <n v="0"/>
    <n v="0"/>
    <n v="6"/>
    <n v="6"/>
    <n v="1"/>
    <n v="110007.42"/>
    <n v="110007.42"/>
    <s v="JALISCO"/>
  </r>
  <r>
    <x v="50"/>
    <n v="2017"/>
    <x v="2"/>
    <x v="11"/>
    <x v="27"/>
    <x v="7"/>
    <x v="7"/>
    <n v="0"/>
    <n v="0"/>
    <n v="0"/>
    <n v="0"/>
    <n v="0"/>
    <n v="0"/>
    <n v="0"/>
    <n v="6"/>
    <n v="0"/>
    <n v="0"/>
    <n v="0"/>
    <n v="0"/>
    <n v="6"/>
    <n v="6"/>
    <n v="1"/>
    <n v="110007.42"/>
    <n v="110007.42"/>
    <s v="AMGEN"/>
    <n v="18334.57"/>
    <x v="49"/>
    <n v="0"/>
    <d v="2017-08-09T00:00:00"/>
    <d v="2017-09-09T00:00:00"/>
    <s v="GRUPO FARMACOS ESPECIALIZADOS SA DE CV"/>
    <n v="0"/>
    <n v="0"/>
    <n v="6"/>
    <n v="6"/>
    <n v="1"/>
    <n v="110007.42"/>
    <n v="110007.42"/>
    <s v="JALISCO"/>
  </r>
  <r>
    <x v="51"/>
    <n v="2017"/>
    <x v="2"/>
    <x v="11"/>
    <x v="27"/>
    <x v="9"/>
    <x v="9"/>
    <n v="0"/>
    <n v="0"/>
    <n v="10"/>
    <n v="0"/>
    <n v="0"/>
    <n v="0"/>
    <n v="0"/>
    <n v="0"/>
    <n v="0"/>
    <n v="0"/>
    <n v="0"/>
    <n v="0"/>
    <n v="10"/>
    <n v="10"/>
    <n v="1"/>
    <n v="47340"/>
    <n v="47340"/>
    <s v="AMGEN"/>
    <n v="4734"/>
    <x v="50"/>
    <n v="0"/>
    <d v="2017-02-24T00:00:00"/>
    <d v="2017-03-24T00:00:00"/>
    <s v="GRUPO FARMACOS ESPECIALIZADOS SA DE CV"/>
    <n v="0"/>
    <n v="0"/>
    <n v="10"/>
    <n v="10"/>
    <n v="1"/>
    <n v="47340"/>
    <n v="47340"/>
    <s v="JALISCO"/>
  </r>
  <r>
    <x v="52"/>
    <n v="2017"/>
    <x v="2"/>
    <x v="11"/>
    <x v="27"/>
    <x v="9"/>
    <x v="12"/>
    <n v="0"/>
    <n v="0"/>
    <n v="0"/>
    <n v="0"/>
    <n v="0"/>
    <n v="0"/>
    <n v="0"/>
    <n v="0"/>
    <n v="0"/>
    <n v="11"/>
    <n v="0"/>
    <n v="0"/>
    <n v="11"/>
    <n v="11"/>
    <n v="1"/>
    <n v="52074"/>
    <n v="52074"/>
    <s v="AMGEN"/>
    <n v="4734"/>
    <x v="51"/>
    <n v="0"/>
    <d v="2017-09-25T00:00:00"/>
    <d v="2017-10-25T00:00:00"/>
    <s v="GRUPO FARMACOS ESPECIALIZADOS SA DE CV"/>
    <n v="0"/>
    <n v="0"/>
    <n v="11"/>
    <n v="11"/>
    <n v="1"/>
    <n v="52074"/>
    <n v="52074"/>
    <s v="JALISCO"/>
  </r>
  <r>
    <x v="53"/>
    <n v="2017"/>
    <x v="2"/>
    <x v="11"/>
    <x v="27"/>
    <x v="9"/>
    <x v="12"/>
    <n v="0"/>
    <n v="0"/>
    <n v="0"/>
    <n v="0"/>
    <n v="0"/>
    <n v="0"/>
    <n v="0"/>
    <n v="0"/>
    <n v="0"/>
    <n v="0"/>
    <n v="0"/>
    <n v="8"/>
    <n v="8"/>
    <n v="8"/>
    <n v="1"/>
    <n v="37872"/>
    <n v="37872"/>
    <s v="AMGEN"/>
    <n v="4734"/>
    <x v="52"/>
    <n v="0"/>
    <d v="2017-11-29T00:00:00"/>
    <d v="2017-12-15T00:00:00"/>
    <s v="GRUPO FARMACOS ESPECIALIZADOS SA DE CV"/>
    <n v="0"/>
    <n v="0"/>
    <n v="8"/>
    <n v="8"/>
    <n v="1"/>
    <n v="37872"/>
    <n v="37872"/>
    <s v="JALISCO"/>
  </r>
  <r>
    <x v="54"/>
    <n v="2017"/>
    <x v="2"/>
    <x v="11"/>
    <x v="27"/>
    <x v="9"/>
    <x v="12"/>
    <n v="0"/>
    <n v="0"/>
    <n v="0"/>
    <n v="0"/>
    <n v="0"/>
    <n v="0"/>
    <n v="0"/>
    <n v="0"/>
    <n v="0"/>
    <n v="0"/>
    <n v="0"/>
    <n v="12"/>
    <n v="12"/>
    <n v="12"/>
    <n v="1"/>
    <n v="56808"/>
    <n v="56808"/>
    <s v="AMGEN"/>
    <n v="4734"/>
    <x v="38"/>
    <n v="0"/>
    <d v="2017-12-01T00:00:00"/>
    <d v="2017-12-22T00:00:00"/>
    <s v="GRUPO FARMACOS ESPECIALIZADOS SA DE CV"/>
    <n v="0"/>
    <n v="0"/>
    <n v="12"/>
    <n v="12"/>
    <n v="1"/>
    <n v="56808"/>
    <n v="56808"/>
    <s v="JALISCO"/>
  </r>
  <r>
    <x v="55"/>
    <n v="2017"/>
    <x v="2"/>
    <x v="12"/>
    <x v="28"/>
    <x v="2"/>
    <x v="2"/>
    <n v="0"/>
    <n v="3"/>
    <n v="0"/>
    <n v="0"/>
    <n v="0"/>
    <n v="0"/>
    <n v="0"/>
    <n v="0"/>
    <n v="0"/>
    <n v="0"/>
    <n v="0"/>
    <n v="0"/>
    <n v="3"/>
    <n v="123"/>
    <n v="2.4390243902439025E-2"/>
    <n v="22029"/>
    <n v="903189"/>
    <s v="AMGEN"/>
    <n v="7343"/>
    <x v="53"/>
    <n v="120"/>
    <d v="2015-11-30T00:00:00"/>
    <d v="2017-05-31T00:00:00"/>
    <s v="GRUPO FARMACOS ESPECIALIZADOS SA DE CV"/>
    <n v="0"/>
    <n v="43"/>
    <n v="46"/>
    <n v="166"/>
    <n v="0.27710843373493976"/>
    <n v="337778"/>
    <n v="1218938"/>
    <s v="PUEBLA"/>
  </r>
  <r>
    <x v="56"/>
    <n v="2017"/>
    <x v="2"/>
    <x v="12"/>
    <x v="28"/>
    <x v="12"/>
    <x v="13"/>
    <n v="0"/>
    <n v="0"/>
    <n v="0"/>
    <n v="0"/>
    <n v="0"/>
    <n v="0"/>
    <n v="4"/>
    <n v="0"/>
    <n v="0"/>
    <n v="3"/>
    <n v="7"/>
    <n v="0"/>
    <n v="14"/>
    <n v="38"/>
    <n v="0.36842105263157893"/>
    <n v="103320"/>
    <n v="280440"/>
    <s v="AMGEN"/>
    <n v="7380"/>
    <x v="54"/>
    <n v="24"/>
    <d v="2017-06-22T00:00:00"/>
    <d v="2018-12-31T00:00:00"/>
    <s v="GRUPO FARMACOS ESPECIALIZADOS SA DE CV"/>
    <n v="0"/>
    <n v="0"/>
    <n v="14"/>
    <n v="38"/>
    <n v="0.36842105263157893"/>
    <n v="103320"/>
    <n v="280440"/>
    <s v="PUEBLA"/>
  </r>
  <r>
    <x v="57"/>
    <n v="2017"/>
    <x v="2"/>
    <x v="13"/>
    <x v="29"/>
    <x v="3"/>
    <x v="3"/>
    <n v="0"/>
    <n v="0"/>
    <n v="0"/>
    <n v="1"/>
    <n v="0"/>
    <n v="0"/>
    <n v="0"/>
    <n v="0"/>
    <n v="0"/>
    <n v="0"/>
    <n v="0"/>
    <n v="0"/>
    <n v="1"/>
    <n v="1"/>
    <n v="1"/>
    <n v="3655.6"/>
    <n v="3655.6"/>
    <s v="AMGEN"/>
    <n v="3655.6"/>
    <x v="55"/>
    <n v="0"/>
    <d v="2017-03-31T00:00:00"/>
    <d v="2017-04-30T00:00:00"/>
    <s v="GRUPO FARMACOS ESPECIALIZADOS SA DE CV"/>
    <n v="0"/>
    <n v="0"/>
    <n v="1"/>
    <n v="1"/>
    <n v="1"/>
    <n v="3655.6"/>
    <n v="3655.6"/>
    <s v="SONORA"/>
  </r>
  <r>
    <x v="58"/>
    <n v="2017"/>
    <x v="2"/>
    <x v="14"/>
    <x v="30"/>
    <x v="10"/>
    <x v="10"/>
    <n v="0"/>
    <n v="0"/>
    <n v="0"/>
    <n v="0"/>
    <n v="0"/>
    <n v="0"/>
    <n v="0"/>
    <n v="0"/>
    <n v="0"/>
    <n v="0"/>
    <n v="0"/>
    <n v="0"/>
    <n v="0"/>
    <n v="180"/>
    <n v="0"/>
    <n v="0"/>
    <n v="2446844.4"/>
    <s v="AMGEN"/>
    <n v="13593.58"/>
    <x v="56"/>
    <n v="180"/>
    <d v="2016-12-07T00:00:00"/>
    <d v="2017-12-31T00:00:00"/>
    <s v="GRUPO FARMACOS ESPECIALIZADOS SA DE CV"/>
    <n v="0"/>
    <n v="0"/>
    <n v="0"/>
    <n v="180"/>
    <n v="0"/>
    <n v="0"/>
    <n v="2446844.4"/>
    <s v="JALISCO"/>
  </r>
  <r>
    <x v="59"/>
    <n v="2017"/>
    <x v="2"/>
    <x v="14"/>
    <x v="30"/>
    <x v="3"/>
    <x v="3"/>
    <n v="0"/>
    <n v="0"/>
    <n v="0"/>
    <n v="0"/>
    <n v="0"/>
    <n v="0"/>
    <n v="0"/>
    <n v="0"/>
    <n v="0"/>
    <n v="1"/>
    <n v="0"/>
    <n v="0"/>
    <n v="1"/>
    <n v="1"/>
    <n v="1"/>
    <n v="3655.6"/>
    <n v="3655.6"/>
    <s v="AMGEN"/>
    <n v="3655.6"/>
    <x v="57"/>
    <n v="0"/>
    <d v="2017-10-24T00:00:00"/>
    <d v="2017-11-24T00:00:00"/>
    <s v="GRUPO FARMACOS ESPECIALIZADOS SA DE CV"/>
    <n v="0"/>
    <n v="0"/>
    <n v="1"/>
    <n v="1"/>
    <n v="1"/>
    <n v="3655.6"/>
    <n v="3655.6"/>
    <s v="JALISCO"/>
  </r>
  <r>
    <x v="60"/>
    <n v="2017"/>
    <x v="2"/>
    <x v="14"/>
    <x v="30"/>
    <x v="3"/>
    <x v="3"/>
    <n v="0"/>
    <n v="0"/>
    <n v="0"/>
    <n v="0"/>
    <n v="0"/>
    <n v="0"/>
    <n v="0"/>
    <n v="0"/>
    <n v="0"/>
    <n v="0"/>
    <n v="0"/>
    <n v="2"/>
    <n v="2"/>
    <n v="2"/>
    <n v="1"/>
    <n v="7311.2"/>
    <n v="7311.2"/>
    <s v="AMGEN"/>
    <n v="3655.6"/>
    <x v="58"/>
    <n v="0"/>
    <d v="2017-12-20T00:00:00"/>
    <d v="2017-12-27T00:00:00"/>
    <s v="GRUPO FARMACOS ESPECIALIZADOS SA DE CV"/>
    <n v="0"/>
    <n v="0"/>
    <n v="2"/>
    <n v="2"/>
    <n v="1"/>
    <n v="7311.2"/>
    <n v="7311.2"/>
    <s v="JALISCO"/>
  </r>
  <r>
    <x v="58"/>
    <n v="2017"/>
    <x v="2"/>
    <x v="14"/>
    <x v="30"/>
    <x v="3"/>
    <x v="3"/>
    <n v="0"/>
    <n v="0"/>
    <n v="0"/>
    <n v="0"/>
    <n v="0"/>
    <n v="0"/>
    <n v="0"/>
    <n v="0"/>
    <n v="0"/>
    <n v="0"/>
    <n v="0"/>
    <n v="0"/>
    <n v="0"/>
    <n v="72"/>
    <n v="0"/>
    <n v="0"/>
    <n v="263203.20000000001"/>
    <s v="AMGEN"/>
    <n v="3655.6"/>
    <x v="56"/>
    <n v="72"/>
    <d v="2016-12-07T00:00:00"/>
    <d v="2017-12-31T00:00:00"/>
    <s v="GRUPO FARMACOS ESPECIALIZADOS SA DE CV"/>
    <n v="0"/>
    <n v="0"/>
    <n v="0"/>
    <n v="72"/>
    <n v="0"/>
    <n v="0"/>
    <n v="263203.20000000001"/>
    <s v="JALISCO"/>
  </r>
  <r>
    <x v="61"/>
    <n v="2017"/>
    <x v="2"/>
    <x v="14"/>
    <x v="30"/>
    <x v="3"/>
    <x v="3"/>
    <n v="0"/>
    <n v="0"/>
    <n v="0"/>
    <n v="0"/>
    <n v="0"/>
    <n v="0"/>
    <n v="0"/>
    <n v="0"/>
    <n v="0"/>
    <n v="0"/>
    <n v="0"/>
    <n v="0"/>
    <n v="0"/>
    <n v="96"/>
    <n v="0"/>
    <n v="0"/>
    <n v="350937.59999999998"/>
    <s v="AMGEN"/>
    <n v="3655.6"/>
    <x v="59"/>
    <n v="96"/>
    <d v="2017-08-30T00:00:00"/>
    <d v="2017-12-31T00:00:00"/>
    <s v="GRUPO FARMACOS ESPECIALIZADOS SA DE CV"/>
    <n v="0"/>
    <n v="0"/>
    <n v="0"/>
    <n v="96"/>
    <n v="0"/>
    <n v="0"/>
    <n v="350937.59999999998"/>
    <s v="JALISCO"/>
  </r>
  <r>
    <x v="58"/>
    <n v="2017"/>
    <x v="2"/>
    <x v="14"/>
    <x v="30"/>
    <x v="2"/>
    <x v="2"/>
    <n v="0"/>
    <n v="0"/>
    <n v="0"/>
    <n v="0"/>
    <n v="0"/>
    <n v="0"/>
    <n v="0"/>
    <n v="0"/>
    <n v="0"/>
    <n v="0"/>
    <n v="0"/>
    <n v="0"/>
    <n v="0"/>
    <n v="45"/>
    <n v="0"/>
    <n v="0"/>
    <n v="330435"/>
    <s v="AMGEN"/>
    <n v="7343"/>
    <x v="56"/>
    <n v="45"/>
    <d v="2016-12-07T00:00:00"/>
    <d v="2017-12-31T00:00:00"/>
    <s v="GRUPO FARMACOS ESPECIALIZADOS SA DE CV"/>
    <n v="0"/>
    <n v="0"/>
    <n v="0"/>
    <n v="45"/>
    <n v="0"/>
    <n v="0"/>
    <n v="330435"/>
    <s v="JALISCO"/>
  </r>
  <r>
    <x v="61"/>
    <n v="2017"/>
    <x v="2"/>
    <x v="14"/>
    <x v="30"/>
    <x v="2"/>
    <x v="2"/>
    <n v="0"/>
    <n v="0"/>
    <n v="0"/>
    <n v="0"/>
    <n v="0"/>
    <n v="0"/>
    <n v="0"/>
    <n v="0"/>
    <n v="0"/>
    <n v="0"/>
    <n v="0"/>
    <n v="0"/>
    <n v="0"/>
    <n v="8"/>
    <n v="0"/>
    <n v="0"/>
    <n v="58744"/>
    <s v="AMGEN"/>
    <n v="7343"/>
    <x v="59"/>
    <n v="8"/>
    <d v="2017-08-30T00:00:00"/>
    <d v="2017-12-31T00:00:00"/>
    <s v="GRUPO FARMACOS ESPECIALIZADOS SA DE CV"/>
    <n v="0"/>
    <n v="0"/>
    <n v="0"/>
    <n v="8"/>
    <n v="0"/>
    <n v="0"/>
    <n v="58744"/>
    <s v="JALISCO"/>
  </r>
  <r>
    <x v="58"/>
    <n v="2017"/>
    <x v="2"/>
    <x v="14"/>
    <x v="30"/>
    <x v="0"/>
    <x v="0"/>
    <n v="0"/>
    <n v="0"/>
    <n v="0"/>
    <n v="0"/>
    <n v="0"/>
    <n v="0"/>
    <n v="0"/>
    <n v="0"/>
    <n v="0"/>
    <n v="0"/>
    <n v="0"/>
    <n v="0"/>
    <n v="0"/>
    <n v="612.5"/>
    <n v="0"/>
    <n v="0"/>
    <n v="1607200"/>
    <s v="AMGEN"/>
    <n v="2624"/>
    <x v="56"/>
    <n v="612.5"/>
    <d v="2016-12-07T00:00:00"/>
    <d v="2017-12-31T00:00:00"/>
    <s v="GRUPO FARMACOS ESPECIALIZADOS SA DE CV"/>
    <n v="0"/>
    <n v="0"/>
    <n v="0"/>
    <n v="612.5"/>
    <n v="0"/>
    <n v="0"/>
    <n v="1607200"/>
    <s v="JALISCO"/>
  </r>
  <r>
    <x v="58"/>
    <n v="2017"/>
    <x v="2"/>
    <x v="14"/>
    <x v="30"/>
    <x v="6"/>
    <x v="6"/>
    <n v="0"/>
    <n v="0"/>
    <n v="0"/>
    <n v="0"/>
    <n v="0"/>
    <n v="0"/>
    <n v="0"/>
    <n v="0"/>
    <n v="0"/>
    <n v="0"/>
    <n v="0"/>
    <n v="0"/>
    <n v="0"/>
    <n v="10"/>
    <n v="0"/>
    <n v="0"/>
    <n v="44280"/>
    <s v="AMGEN"/>
    <n v="4428"/>
    <x v="56"/>
    <n v="10"/>
    <d v="2016-12-07T00:00:00"/>
    <d v="2017-12-31T00:00:00"/>
    <s v="GRUPO FARMACOS ESPECIALIZADOS SA DE CV"/>
    <n v="0"/>
    <n v="0"/>
    <n v="0"/>
    <n v="10"/>
    <n v="0"/>
    <n v="0"/>
    <n v="44280"/>
    <s v="JALISCO"/>
  </r>
  <r>
    <x v="61"/>
    <n v="2017"/>
    <x v="2"/>
    <x v="14"/>
    <x v="30"/>
    <x v="13"/>
    <x v="14"/>
    <n v="0"/>
    <n v="0"/>
    <n v="0"/>
    <n v="0"/>
    <n v="0"/>
    <n v="0"/>
    <n v="0"/>
    <n v="0"/>
    <n v="0"/>
    <n v="0"/>
    <n v="0"/>
    <n v="0"/>
    <n v="0"/>
    <n v="132"/>
    <n v="0"/>
    <n v="0"/>
    <n v="1016294.4"/>
    <s v="AMGEN"/>
    <n v="7699.2"/>
    <x v="59"/>
    <n v="132"/>
    <d v="2017-08-30T00:00:00"/>
    <d v="2017-12-31T00:00:00"/>
    <s v="GRUPO FARMACOS ESPECIALIZADOS SA DE CV"/>
    <n v="0"/>
    <n v="0"/>
    <n v="0"/>
    <n v="132"/>
    <n v="0"/>
    <n v="0"/>
    <n v="1016294.4"/>
    <s v="JALISCO"/>
  </r>
  <r>
    <x v="62"/>
    <n v="2017"/>
    <x v="2"/>
    <x v="14"/>
    <x v="31"/>
    <x v="3"/>
    <x v="3"/>
    <n v="0"/>
    <n v="0"/>
    <n v="0"/>
    <n v="0"/>
    <n v="0"/>
    <n v="1"/>
    <n v="0"/>
    <n v="0"/>
    <n v="0"/>
    <n v="0"/>
    <n v="0"/>
    <n v="0"/>
    <n v="1"/>
    <n v="1"/>
    <n v="1"/>
    <n v="3655.6"/>
    <n v="3655.6"/>
    <s v="AMGEN"/>
    <n v="3655.6"/>
    <x v="60"/>
    <n v="0"/>
    <d v="2017-06-05T00:00:00"/>
    <d v="2017-07-05T00:00:00"/>
    <s v="GRUPO FARMACOS ESPECIALIZADOS SA DE CV"/>
    <n v="0"/>
    <n v="0"/>
    <n v="1"/>
    <n v="1"/>
    <n v="1"/>
    <n v="3655.6"/>
    <n v="3655.6"/>
    <s v="JALISCO"/>
  </r>
  <r>
    <x v="58"/>
    <n v="2017"/>
    <x v="2"/>
    <x v="14"/>
    <x v="31"/>
    <x v="3"/>
    <x v="3"/>
    <n v="0"/>
    <n v="0"/>
    <n v="14"/>
    <n v="10"/>
    <n v="5"/>
    <n v="31"/>
    <n v="0"/>
    <n v="0"/>
    <n v="12"/>
    <n v="0"/>
    <n v="0"/>
    <n v="0"/>
    <n v="72"/>
    <n v="0"/>
    <n v="0"/>
    <n v="263203.20000000001"/>
    <n v="0"/>
    <s v="AMGEN"/>
    <n v="3655.6"/>
    <x v="56"/>
    <n v="-72"/>
    <d v="2016-12-07T00:00:00"/>
    <d v="2017-12-31T00:00:00"/>
    <s v="GRUPO FARMACOS ESPECIALIZADOS SA DE CV"/>
    <n v="0"/>
    <n v="0"/>
    <n v="72"/>
    <n v="0"/>
    <n v="0"/>
    <n v="263203.20000000001"/>
    <n v="0"/>
    <s v="JALISCO"/>
  </r>
  <r>
    <x v="61"/>
    <n v="2017"/>
    <x v="2"/>
    <x v="14"/>
    <x v="31"/>
    <x v="3"/>
    <x v="3"/>
    <n v="0"/>
    <n v="0"/>
    <n v="0"/>
    <n v="0"/>
    <n v="0"/>
    <n v="0"/>
    <n v="0"/>
    <n v="0"/>
    <n v="0"/>
    <n v="40"/>
    <n v="56"/>
    <n v="0"/>
    <n v="96"/>
    <n v="0"/>
    <n v="0"/>
    <n v="350937.59999999998"/>
    <n v="0"/>
    <s v="AMGEN"/>
    <n v="3655.6"/>
    <x v="59"/>
    <n v="-96"/>
    <d v="2017-08-30T00:00:00"/>
    <d v="2017-12-31T00:00:00"/>
    <s v="GRUPO FARMACOS ESPECIALIZADOS SA DE CV"/>
    <n v="0"/>
    <n v="0"/>
    <n v="96"/>
    <n v="0"/>
    <n v="0"/>
    <n v="350937.59999999998"/>
    <n v="0"/>
    <s v="JALISCO"/>
  </r>
  <r>
    <x v="58"/>
    <n v="2017"/>
    <x v="2"/>
    <x v="14"/>
    <x v="31"/>
    <x v="2"/>
    <x v="2"/>
    <n v="0"/>
    <n v="0"/>
    <n v="0"/>
    <n v="0"/>
    <n v="0"/>
    <n v="5"/>
    <n v="0"/>
    <n v="5"/>
    <n v="0"/>
    <n v="0"/>
    <n v="0"/>
    <n v="0"/>
    <n v="10"/>
    <n v="0"/>
    <n v="0"/>
    <n v="73430"/>
    <n v="0"/>
    <s v="AMGEN"/>
    <n v="7343"/>
    <x v="56"/>
    <n v="-10"/>
    <d v="2016-12-07T00:00:00"/>
    <d v="2017-12-31T00:00:00"/>
    <s v="GRUPO FARMACOS ESPECIALIZADOS SA DE CV"/>
    <n v="0"/>
    <n v="0"/>
    <n v="10"/>
    <n v="0"/>
    <n v="0"/>
    <n v="73430"/>
    <n v="0"/>
    <s v="JALISCO"/>
  </r>
  <r>
    <x v="58"/>
    <n v="2017"/>
    <x v="2"/>
    <x v="14"/>
    <x v="31"/>
    <x v="0"/>
    <x v="0"/>
    <n v="51"/>
    <n v="51"/>
    <n v="55"/>
    <n v="0"/>
    <n v="102"/>
    <n v="51"/>
    <n v="63"/>
    <n v="51"/>
    <n v="55"/>
    <n v="53"/>
    <n v="2"/>
    <n v="0"/>
    <n v="534"/>
    <n v="0"/>
    <n v="0"/>
    <n v="1401216"/>
    <n v="0"/>
    <s v="AMGEN"/>
    <n v="2624"/>
    <x v="56"/>
    <n v="-534"/>
    <d v="2016-12-07T00:00:00"/>
    <d v="2017-12-31T00:00:00"/>
    <s v="GRUPO FARMACOS ESPECIALIZADOS SA DE CV"/>
    <n v="0"/>
    <n v="0"/>
    <n v="534"/>
    <n v="0"/>
    <n v="0"/>
    <n v="1401216"/>
    <n v="0"/>
    <s v="JALISCO"/>
  </r>
  <r>
    <x v="58"/>
    <n v="2017"/>
    <x v="2"/>
    <x v="14"/>
    <x v="31"/>
    <x v="6"/>
    <x v="6"/>
    <n v="4"/>
    <n v="0"/>
    <n v="0"/>
    <n v="0"/>
    <n v="0"/>
    <n v="0"/>
    <n v="0"/>
    <n v="0"/>
    <n v="0"/>
    <n v="0"/>
    <n v="0"/>
    <n v="0"/>
    <n v="4"/>
    <n v="0"/>
    <n v="0"/>
    <n v="17712"/>
    <n v="0"/>
    <s v="AMGEN"/>
    <n v="4428"/>
    <x v="56"/>
    <n v="-4"/>
    <d v="2016-12-07T00:00:00"/>
    <d v="2017-12-31T00:00:00"/>
    <s v="GRUPO FARMACOS ESPECIALIZADOS SA DE CV"/>
    <n v="0"/>
    <n v="0"/>
    <n v="4"/>
    <n v="0"/>
    <n v="0"/>
    <n v="17712"/>
    <n v="0"/>
    <s v="JALISCO"/>
  </r>
  <r>
    <x v="63"/>
    <n v="2017"/>
    <x v="2"/>
    <x v="14"/>
    <x v="31"/>
    <x v="13"/>
    <x v="14"/>
    <n v="0"/>
    <n v="18"/>
    <n v="0"/>
    <n v="32"/>
    <n v="21"/>
    <n v="109"/>
    <n v="0"/>
    <n v="0"/>
    <n v="0"/>
    <n v="18"/>
    <n v="18"/>
    <n v="0"/>
    <n v="216"/>
    <n v="0"/>
    <n v="0"/>
    <n v="1663027.2"/>
    <n v="0"/>
    <s v="AMGEN"/>
    <n v="7699.2"/>
    <x v="61"/>
    <n v="-216"/>
    <d v="2017-02-03T00:00:00"/>
    <d v="2017-12-31T00:00:00"/>
    <s v="GRUPO FARMACOS ESPECIALIZADOS SA DE CV"/>
    <n v="0"/>
    <n v="0"/>
    <n v="216"/>
    <n v="0"/>
    <n v="0"/>
    <n v="1663027.2"/>
    <n v="0"/>
    <s v="JALISCO"/>
  </r>
  <r>
    <x v="61"/>
    <n v="2017"/>
    <x v="2"/>
    <x v="14"/>
    <x v="31"/>
    <x v="13"/>
    <x v="14"/>
    <n v="0"/>
    <n v="0"/>
    <n v="0"/>
    <n v="0"/>
    <n v="0"/>
    <n v="0"/>
    <n v="0"/>
    <n v="0"/>
    <n v="0"/>
    <n v="0"/>
    <n v="18"/>
    <n v="0"/>
    <n v="18"/>
    <n v="0"/>
    <n v="0"/>
    <n v="138585.60000000001"/>
    <n v="0"/>
    <s v="AMGEN"/>
    <n v="7699.2"/>
    <x v="59"/>
    <n v="-18"/>
    <d v="2017-08-30T00:00:00"/>
    <d v="2017-12-31T00:00:00"/>
    <s v="GRUPO FARMACOS ESPECIALIZADOS SA DE CV"/>
    <n v="0"/>
    <n v="0"/>
    <n v="18"/>
    <n v="0"/>
    <n v="0"/>
    <n v="138585.60000000001"/>
    <n v="0"/>
    <s v="JALISCO"/>
  </r>
  <r>
    <x v="58"/>
    <n v="2017"/>
    <x v="2"/>
    <x v="14"/>
    <x v="32"/>
    <x v="10"/>
    <x v="10"/>
    <n v="10"/>
    <n v="5"/>
    <n v="0"/>
    <n v="0"/>
    <n v="0"/>
    <n v="10"/>
    <n v="15"/>
    <n v="0"/>
    <n v="5"/>
    <n v="0"/>
    <n v="5"/>
    <n v="40"/>
    <n v="90"/>
    <n v="0"/>
    <n v="0"/>
    <n v="1223422.2"/>
    <n v="0"/>
    <s v="AMGEN"/>
    <n v="13593.58"/>
    <x v="56"/>
    <n v="-90"/>
    <d v="2016-12-07T00:00:00"/>
    <d v="2017-12-31T00:00:00"/>
    <s v="GRUPO FARMACOS ESPECIALIZADOS SA DE CV"/>
    <n v="0"/>
    <n v="0"/>
    <n v="90"/>
    <n v="0"/>
    <n v="0"/>
    <n v="1223422.2"/>
    <n v="0"/>
    <s v="JALISCO"/>
  </r>
  <r>
    <x v="64"/>
    <n v="2017"/>
    <x v="2"/>
    <x v="14"/>
    <x v="32"/>
    <x v="3"/>
    <x v="3"/>
    <n v="0"/>
    <n v="0"/>
    <n v="0"/>
    <n v="0"/>
    <n v="0"/>
    <n v="0"/>
    <n v="0"/>
    <n v="0"/>
    <n v="0"/>
    <n v="0"/>
    <n v="1"/>
    <n v="0"/>
    <n v="1"/>
    <n v="1"/>
    <n v="1"/>
    <n v="3655.6"/>
    <n v="3655.6"/>
    <s v="AMGEN"/>
    <n v="3655.6"/>
    <x v="62"/>
    <n v="0"/>
    <d v="2017-11-06T00:00:00"/>
    <d v="2017-12-06T00:00:00"/>
    <s v="GRUPO FARMACOS ESPECIALIZADOS SA DE CV"/>
    <n v="0"/>
    <n v="0"/>
    <n v="1"/>
    <n v="1"/>
    <n v="1"/>
    <n v="3655.6"/>
    <n v="3655.6"/>
    <s v="JALISCO"/>
  </r>
  <r>
    <x v="58"/>
    <n v="2017"/>
    <x v="2"/>
    <x v="14"/>
    <x v="32"/>
    <x v="3"/>
    <x v="3"/>
    <n v="0"/>
    <n v="0"/>
    <n v="6"/>
    <n v="0"/>
    <n v="0"/>
    <n v="6"/>
    <n v="0"/>
    <n v="0"/>
    <n v="0"/>
    <n v="0"/>
    <n v="0"/>
    <n v="0"/>
    <n v="12"/>
    <n v="0"/>
    <n v="0"/>
    <n v="43867.199999999997"/>
    <n v="0"/>
    <s v="AMGEN"/>
    <n v="3655.6"/>
    <x v="56"/>
    <n v="-12"/>
    <d v="2016-12-07T00:00:00"/>
    <d v="2017-12-31T00:00:00"/>
    <s v="GRUPO FARMACOS ESPECIALIZADOS SA DE CV"/>
    <n v="0"/>
    <n v="0"/>
    <n v="12"/>
    <n v="0"/>
    <n v="0"/>
    <n v="43867.199999999997"/>
    <n v="0"/>
    <s v="JALISCO"/>
  </r>
  <r>
    <x v="58"/>
    <n v="2017"/>
    <x v="2"/>
    <x v="14"/>
    <x v="32"/>
    <x v="2"/>
    <x v="2"/>
    <n v="8"/>
    <n v="2"/>
    <n v="2"/>
    <n v="0"/>
    <n v="0"/>
    <n v="0"/>
    <n v="0"/>
    <n v="0"/>
    <n v="0"/>
    <n v="0"/>
    <n v="0"/>
    <n v="0"/>
    <n v="12"/>
    <n v="0"/>
    <n v="0"/>
    <n v="88116"/>
    <n v="0"/>
    <s v="AMGEN"/>
    <n v="7343"/>
    <x v="56"/>
    <n v="-12"/>
    <d v="2016-12-07T00:00:00"/>
    <d v="2017-12-31T00:00:00"/>
    <s v="GRUPO FARMACOS ESPECIALIZADOS SA DE CV"/>
    <n v="0"/>
    <n v="0"/>
    <n v="12"/>
    <n v="0"/>
    <n v="0"/>
    <n v="88116"/>
    <n v="0"/>
    <s v="JALISCO"/>
  </r>
  <r>
    <x v="63"/>
    <n v="2017"/>
    <x v="2"/>
    <x v="14"/>
    <x v="32"/>
    <x v="13"/>
    <x v="14"/>
    <n v="0"/>
    <n v="0"/>
    <n v="0"/>
    <n v="0"/>
    <n v="0"/>
    <n v="0"/>
    <n v="0"/>
    <n v="0"/>
    <n v="0"/>
    <n v="0"/>
    <n v="0"/>
    <n v="0"/>
    <n v="0"/>
    <n v="180"/>
    <n v="0"/>
    <n v="0"/>
    <n v="1385856"/>
    <s v="AMGEN"/>
    <n v="7699.2"/>
    <x v="61"/>
    <n v="180"/>
    <d v="2017-02-03T00:00:00"/>
    <d v="2017-12-31T00:00:00"/>
    <s v="GRUPO FARMACOS ESPECIALIZADOS SA DE CV"/>
    <n v="0"/>
    <n v="0"/>
    <n v="0"/>
    <n v="180"/>
    <n v="0"/>
    <n v="0"/>
    <n v="1385856"/>
    <s v="JALISCO"/>
  </r>
  <r>
    <x v="65"/>
    <n v="2017"/>
    <x v="2"/>
    <x v="15"/>
    <x v="33"/>
    <x v="10"/>
    <x v="10"/>
    <n v="0"/>
    <n v="0"/>
    <n v="40"/>
    <n v="9"/>
    <n v="0"/>
    <n v="12"/>
    <n v="0"/>
    <n v="28"/>
    <n v="40"/>
    <n v="0"/>
    <n v="5"/>
    <n v="0"/>
    <n v="134"/>
    <n v="394"/>
    <n v="0.34010152284263961"/>
    <n v="1821462"/>
    <n v="5355642"/>
    <s v="AMGEN"/>
    <n v="13593"/>
    <x v="63"/>
    <n v="260"/>
    <d v="2017-02-24T00:00:00"/>
    <d v="2017-12-31T00:00:00"/>
    <s v="GRUPO FARMACOS ESPECIALIZADOS SA DE CV"/>
    <n v="0"/>
    <n v="0"/>
    <n v="134"/>
    <n v="305"/>
    <n v="0.43934426229508194"/>
    <n v="1821462"/>
    <n v="4145865"/>
    <s v="CHIHUAHUA"/>
  </r>
  <r>
    <x v="65"/>
    <n v="2017"/>
    <x v="2"/>
    <x v="15"/>
    <x v="33"/>
    <x v="3"/>
    <x v="3"/>
    <n v="0"/>
    <n v="0"/>
    <n v="160"/>
    <n v="36"/>
    <n v="90"/>
    <n v="115"/>
    <n v="0"/>
    <n v="168"/>
    <n v="160"/>
    <n v="0"/>
    <n v="0"/>
    <n v="0"/>
    <n v="729"/>
    <n v="1380"/>
    <n v="0.52826086956521734"/>
    <n v="2664932.4"/>
    <n v="5044728"/>
    <s v="AMGEN"/>
    <n v="3655.6"/>
    <x v="63"/>
    <n v="651"/>
    <d v="2017-02-24T00:00:00"/>
    <d v="2017-12-31T00:00:00"/>
    <s v="GRUPO FARMACOS ESPECIALIZADOS SA DE CV"/>
    <n v="0"/>
    <n v="0"/>
    <n v="729"/>
    <n v="780"/>
    <n v="0.93461538461538463"/>
    <n v="2664932.4"/>
    <n v="2851368"/>
    <s v="CHIHUAHUA"/>
  </r>
  <r>
    <x v="65"/>
    <n v="2017"/>
    <x v="2"/>
    <x v="15"/>
    <x v="33"/>
    <x v="2"/>
    <x v="2"/>
    <n v="0"/>
    <n v="0"/>
    <n v="4"/>
    <n v="0"/>
    <n v="0"/>
    <n v="0"/>
    <n v="0"/>
    <n v="0"/>
    <n v="4"/>
    <n v="0"/>
    <n v="0"/>
    <n v="0"/>
    <n v="8"/>
    <n v="66"/>
    <n v="0.12121212121212122"/>
    <n v="58744"/>
    <n v="484638"/>
    <s v="AMGEN"/>
    <n v="7343"/>
    <x v="63"/>
    <n v="58"/>
    <d v="2017-02-24T00:00:00"/>
    <d v="2017-12-31T00:00:00"/>
    <s v="GRUPO FARMACOS ESPECIALIZADOS SA DE CV"/>
    <n v="0"/>
    <n v="0"/>
    <n v="8"/>
    <n v="33"/>
    <n v="0.24242424242424243"/>
    <n v="58744"/>
    <n v="242319"/>
    <s v="CHIHUAHUA"/>
  </r>
  <r>
    <x v="66"/>
    <n v="2017"/>
    <x v="2"/>
    <x v="15"/>
    <x v="33"/>
    <x v="0"/>
    <x v="0"/>
    <n v="0"/>
    <n v="0"/>
    <n v="0"/>
    <n v="0"/>
    <n v="0"/>
    <n v="0"/>
    <n v="0"/>
    <n v="0"/>
    <n v="0"/>
    <n v="0"/>
    <n v="0"/>
    <n v="57"/>
    <n v="57"/>
    <n v="57"/>
    <n v="1"/>
    <n v="149568"/>
    <n v="149568"/>
    <s v="AMGEN"/>
    <n v="2624"/>
    <x v="64"/>
    <n v="0"/>
    <d v="2017-11-28T00:00:00"/>
    <d v="2017-12-10T00:00:00"/>
    <s v="GRUPO FARMACOS ESPECIALIZADOS SA DE CV"/>
    <n v="0"/>
    <n v="0"/>
    <n v="57"/>
    <n v="57"/>
    <n v="1"/>
    <n v="149568"/>
    <n v="149568"/>
    <s v="CHIHUAHUA"/>
  </r>
  <r>
    <x v="65"/>
    <n v="2017"/>
    <x v="2"/>
    <x v="15"/>
    <x v="33"/>
    <x v="0"/>
    <x v="0"/>
    <n v="0"/>
    <n v="0"/>
    <n v="155"/>
    <n v="75"/>
    <n v="198"/>
    <n v="0"/>
    <n v="0"/>
    <n v="0"/>
    <n v="128"/>
    <n v="0"/>
    <n v="0"/>
    <n v="0"/>
    <n v="556"/>
    <n v="984"/>
    <n v="0.56504065040650409"/>
    <n v="1458944"/>
    <n v="2582016"/>
    <s v="AMGEN"/>
    <n v="2624"/>
    <x v="63"/>
    <n v="428"/>
    <d v="2017-02-24T00:00:00"/>
    <d v="2017-12-31T00:00:00"/>
    <s v="GRUPO FARMACOS ESPECIALIZADOS SA DE CV"/>
    <n v="0"/>
    <n v="0"/>
    <n v="556"/>
    <n v="556"/>
    <n v="1"/>
    <n v="1458944"/>
    <n v="1458944"/>
    <s v="CHIHUAHUA"/>
  </r>
  <r>
    <x v="65"/>
    <n v="2017"/>
    <x v="2"/>
    <x v="15"/>
    <x v="33"/>
    <x v="8"/>
    <x v="8"/>
    <n v="0"/>
    <n v="0"/>
    <n v="170"/>
    <n v="0"/>
    <n v="73"/>
    <n v="100"/>
    <n v="0"/>
    <n v="0"/>
    <n v="130"/>
    <n v="0"/>
    <n v="159"/>
    <n v="0"/>
    <n v="632"/>
    <n v="1350"/>
    <n v="0.46814814814814815"/>
    <n v="2730240"/>
    <n v="5832000"/>
    <s v="AMGEN"/>
    <n v="4320"/>
    <x v="63"/>
    <n v="718"/>
    <d v="2017-02-24T00:00:00"/>
    <d v="2017-12-31T00:00:00"/>
    <s v="GRUPO FARMACOS ESPECIALIZADOS SA DE CV"/>
    <n v="0"/>
    <n v="0"/>
    <n v="632"/>
    <n v="675"/>
    <n v="0.93629629629629629"/>
    <n v="2730240"/>
    <n v="2916000"/>
    <s v="CHIHUAHUA"/>
  </r>
  <r>
    <x v="67"/>
    <n v="2017"/>
    <x v="2"/>
    <x v="15"/>
    <x v="33"/>
    <x v="6"/>
    <x v="6"/>
    <n v="0"/>
    <n v="0"/>
    <n v="0"/>
    <n v="0"/>
    <n v="0"/>
    <n v="0"/>
    <n v="0"/>
    <n v="0"/>
    <n v="0"/>
    <n v="0"/>
    <n v="7"/>
    <n v="0"/>
    <n v="7"/>
    <n v="7"/>
    <n v="1"/>
    <n v="30996"/>
    <n v="30996"/>
    <s v="AMGEN"/>
    <n v="4428"/>
    <x v="65"/>
    <n v="0"/>
    <d v="2017-11-03T00:00:00"/>
    <d v="2017-12-31T00:00:00"/>
    <s v="GRUPO FARMACOS ESPECIALIZADOS SA DE CV"/>
    <n v="0"/>
    <n v="0"/>
    <n v="7"/>
    <n v="7"/>
    <n v="1"/>
    <n v="30996"/>
    <n v="30996"/>
    <s v="CHIHUAHUA"/>
  </r>
  <r>
    <x v="65"/>
    <n v="2017"/>
    <x v="2"/>
    <x v="15"/>
    <x v="33"/>
    <x v="6"/>
    <x v="6"/>
    <n v="0"/>
    <n v="0"/>
    <n v="10"/>
    <n v="10"/>
    <n v="7"/>
    <n v="5"/>
    <n v="0"/>
    <n v="5"/>
    <n v="20"/>
    <n v="0"/>
    <n v="22"/>
    <n v="0"/>
    <n v="79"/>
    <n v="158"/>
    <n v="0.5"/>
    <n v="349812"/>
    <n v="699624"/>
    <s v="AMGEN"/>
    <n v="4428"/>
    <x v="63"/>
    <n v="79"/>
    <d v="2017-02-24T00:00:00"/>
    <d v="2017-12-31T00:00:00"/>
    <s v="GRUPO FARMACOS ESPECIALIZADOS SA DE CV"/>
    <n v="0"/>
    <n v="0"/>
    <n v="79"/>
    <n v="79"/>
    <n v="1"/>
    <n v="349812"/>
    <n v="349812"/>
    <s v="CHIHUAHUA"/>
  </r>
  <r>
    <x v="65"/>
    <n v="2017"/>
    <x v="2"/>
    <x v="15"/>
    <x v="33"/>
    <x v="1"/>
    <x v="1"/>
    <n v="0"/>
    <n v="0"/>
    <n v="20"/>
    <n v="5"/>
    <n v="16"/>
    <n v="5"/>
    <n v="0"/>
    <n v="0"/>
    <n v="10"/>
    <n v="0"/>
    <n v="28"/>
    <n v="0"/>
    <n v="84"/>
    <n v="186"/>
    <n v="0.45161290322580644"/>
    <n v="195846"/>
    <n v="433659"/>
    <s v="AMGEN"/>
    <n v="2331.5"/>
    <x v="63"/>
    <n v="102"/>
    <d v="2017-02-24T00:00:00"/>
    <d v="2017-12-31T00:00:00"/>
    <s v="GRUPO FARMACOS ESPECIALIZADOS SA DE CV"/>
    <n v="0"/>
    <n v="0"/>
    <n v="84"/>
    <n v="93"/>
    <n v="0.90322580645161288"/>
    <n v="195846"/>
    <n v="216829.5"/>
    <s v="CHIHUAHUA"/>
  </r>
  <r>
    <x v="65"/>
    <n v="2017"/>
    <x v="2"/>
    <x v="15"/>
    <x v="33"/>
    <x v="4"/>
    <x v="4"/>
    <n v="0"/>
    <n v="0"/>
    <n v="10"/>
    <n v="13"/>
    <n v="15"/>
    <n v="4"/>
    <n v="0"/>
    <n v="18"/>
    <n v="20"/>
    <n v="0"/>
    <n v="37"/>
    <n v="0"/>
    <n v="117"/>
    <n v="233"/>
    <n v="0.50214592274678116"/>
    <n v="814179.6"/>
    <n v="1621400.4000000001"/>
    <s v="AMGEN"/>
    <n v="6958.8"/>
    <x v="63"/>
    <n v="116"/>
    <d v="2017-02-24T00:00:00"/>
    <d v="2017-12-31T00:00:00"/>
    <s v="GRUPO FARMACOS ESPECIALIZADOS SA DE CV"/>
    <n v="0"/>
    <n v="0"/>
    <n v="117"/>
    <n v="129"/>
    <n v="0.90697674418604646"/>
    <n v="814179.6"/>
    <n v="897685.20000000007"/>
    <s v="CHIHUAHUA"/>
  </r>
  <r>
    <x v="68"/>
    <n v="2017"/>
    <x v="2"/>
    <x v="15"/>
    <x v="33"/>
    <x v="9"/>
    <x v="9"/>
    <n v="0"/>
    <n v="0"/>
    <n v="0"/>
    <n v="0"/>
    <n v="0"/>
    <n v="0"/>
    <n v="0"/>
    <n v="0"/>
    <n v="1"/>
    <n v="0"/>
    <n v="0"/>
    <n v="0"/>
    <n v="1"/>
    <n v="1"/>
    <n v="1"/>
    <n v="4734"/>
    <n v="4734"/>
    <s v="AMGEN"/>
    <n v="4734"/>
    <x v="66"/>
    <n v="0"/>
    <d v="2017-09-12T00:00:00"/>
    <d v="2017-10-12T00:00:00"/>
    <s v="GRUPO FARMACOS ESPECIALIZADOS SA DE CV"/>
    <n v="0"/>
    <n v="0"/>
    <n v="1"/>
    <n v="1"/>
    <n v="1"/>
    <n v="4734"/>
    <n v="4734"/>
    <s v="CHIHUAHUA"/>
  </r>
  <r>
    <x v="65"/>
    <n v="2017"/>
    <x v="2"/>
    <x v="15"/>
    <x v="33"/>
    <x v="9"/>
    <x v="9"/>
    <n v="0"/>
    <n v="0"/>
    <n v="5"/>
    <n v="6"/>
    <n v="1"/>
    <n v="0"/>
    <n v="0"/>
    <n v="0"/>
    <n v="0"/>
    <n v="0"/>
    <n v="0"/>
    <n v="0"/>
    <n v="12"/>
    <n v="24"/>
    <n v="0.5"/>
    <n v="56808"/>
    <n v="113616"/>
    <s v="AMGEN"/>
    <n v="4734"/>
    <x v="63"/>
    <n v="12"/>
    <d v="2017-02-24T00:00:00"/>
    <d v="2017-12-31T00:00:00"/>
    <s v="GRUPO FARMACOS ESPECIALIZADOS SA DE CV"/>
    <n v="0"/>
    <n v="0"/>
    <n v="12"/>
    <n v="12"/>
    <n v="1"/>
    <n v="56808"/>
    <n v="56808"/>
    <s v="CHIHUAHUA"/>
  </r>
  <r>
    <x v="69"/>
    <n v="2017"/>
    <x v="2"/>
    <x v="15"/>
    <x v="33"/>
    <x v="9"/>
    <x v="12"/>
    <n v="0"/>
    <n v="0"/>
    <n v="0"/>
    <n v="0"/>
    <n v="0"/>
    <n v="0"/>
    <n v="0"/>
    <n v="0"/>
    <n v="0"/>
    <n v="9"/>
    <n v="0"/>
    <n v="0"/>
    <n v="9"/>
    <n v="9"/>
    <n v="1"/>
    <n v="42606"/>
    <n v="42606"/>
    <s v="AMGEN"/>
    <n v="4734"/>
    <x v="67"/>
    <n v="0"/>
    <d v="2017-09-28T00:00:00"/>
    <d v="2017-12-31T00:00:00"/>
    <s v="GRUPO FARMACOS ESPECIALIZADOS SA DE CV"/>
    <n v="0"/>
    <n v="0"/>
    <n v="9"/>
    <n v="9"/>
    <n v="1"/>
    <n v="42606"/>
    <n v="42606"/>
    <s v="CHIHUAHUA"/>
  </r>
  <r>
    <x v="65"/>
    <n v="2017"/>
    <x v="2"/>
    <x v="15"/>
    <x v="33"/>
    <x v="11"/>
    <x v="15"/>
    <n v="0"/>
    <n v="0"/>
    <n v="0"/>
    <n v="25"/>
    <n v="41"/>
    <n v="0"/>
    <n v="0"/>
    <n v="45"/>
    <n v="25"/>
    <n v="0"/>
    <n v="0"/>
    <n v="10"/>
    <n v="146"/>
    <n v="1440"/>
    <n v="0.10138888888888889"/>
    <n v="210240"/>
    <n v="2073600"/>
    <s v="AMGEN"/>
    <n v="1440"/>
    <x v="63"/>
    <n v="1294"/>
    <d v="2017-02-24T00:00:00"/>
    <d v="2017-12-31T00:00:00"/>
    <s v="GRUPO FARMACOS ESPECIALIZADOS SA DE CV"/>
    <n v="0"/>
    <n v="0"/>
    <n v="146"/>
    <n v="720"/>
    <n v="0.20277777777777778"/>
    <n v="210240"/>
    <n v="1036800"/>
    <s v="CHIHUAHUA"/>
  </r>
  <r>
    <x v="70"/>
    <n v="2017"/>
    <x v="2"/>
    <x v="16"/>
    <x v="34"/>
    <x v="10"/>
    <x v="10"/>
    <n v="0"/>
    <n v="0"/>
    <n v="0"/>
    <n v="0"/>
    <n v="51"/>
    <n v="0"/>
    <n v="0"/>
    <n v="0"/>
    <n v="0"/>
    <n v="0"/>
    <n v="0"/>
    <n v="0"/>
    <n v="51"/>
    <n v="51"/>
    <n v="1"/>
    <n v="693272.58"/>
    <n v="693272.58"/>
    <s v="AMGEN"/>
    <n v="13593.58"/>
    <x v="68"/>
    <n v="0"/>
    <d v="2017-03-16T00:00:00"/>
    <d v="2017-10-30T00:00:00"/>
    <s v="GRUPO FARMACOS ESPECIALIZADOS SA DE CV"/>
    <n v="0"/>
    <n v="0"/>
    <n v="51"/>
    <n v="51"/>
    <n v="1"/>
    <n v="693272.58"/>
    <n v="693272.58"/>
    <s v="PUEBLA"/>
  </r>
  <r>
    <x v="71"/>
    <n v="2017"/>
    <x v="2"/>
    <x v="16"/>
    <x v="34"/>
    <x v="10"/>
    <x v="10"/>
    <n v="0"/>
    <n v="0"/>
    <n v="0"/>
    <n v="0"/>
    <n v="0"/>
    <n v="0"/>
    <n v="10"/>
    <n v="35"/>
    <n v="0"/>
    <n v="55"/>
    <n v="40"/>
    <n v="0"/>
    <n v="140"/>
    <n v="499"/>
    <n v="0.28056112224448898"/>
    <n v="1903020"/>
    <n v="6782907"/>
    <s v="AMGEN"/>
    <n v="13593"/>
    <x v="69"/>
    <n v="359"/>
    <d v="2017-06-16T00:00:00"/>
    <d v="2018-12-13T00:00:00"/>
    <s v="GRUPO FARMACOS ESPECIALIZADOS SA DE CV"/>
    <n v="0"/>
    <n v="0"/>
    <n v="140"/>
    <n v="499"/>
    <n v="0.28056112224448898"/>
    <n v="1903020"/>
    <n v="6782907"/>
    <s v="PUEBLA"/>
  </r>
  <r>
    <x v="72"/>
    <n v="2017"/>
    <x v="2"/>
    <x v="16"/>
    <x v="34"/>
    <x v="10"/>
    <x v="10"/>
    <n v="24"/>
    <n v="3"/>
    <n v="0"/>
    <n v="0"/>
    <n v="0"/>
    <n v="0"/>
    <n v="0"/>
    <n v="0"/>
    <n v="0"/>
    <n v="0"/>
    <n v="0"/>
    <n v="0"/>
    <n v="27"/>
    <n v="431"/>
    <n v="6.2645011600928072E-2"/>
    <n v="367026.66"/>
    <n v="5858832.9799999995"/>
    <s v="AMGEN"/>
    <n v="13593.58"/>
    <x v="70"/>
    <n v="404"/>
    <d v="2016-02-18T00:00:00"/>
    <d v="2017-08-25T00:00:00"/>
    <s v="GRUPO FARMACOS ESPECIALIZADOS SA DE CV"/>
    <n v="0"/>
    <n v="187"/>
    <n v="214"/>
    <n v="618"/>
    <n v="0.34627831715210355"/>
    <n v="2909026.12"/>
    <n v="8400832.4399999995"/>
    <s v="PUEBLA"/>
  </r>
  <r>
    <x v="71"/>
    <n v="2017"/>
    <x v="2"/>
    <x v="16"/>
    <x v="34"/>
    <x v="13"/>
    <x v="14"/>
    <n v="0"/>
    <n v="0"/>
    <n v="0"/>
    <n v="0"/>
    <n v="0"/>
    <n v="0"/>
    <n v="0"/>
    <n v="0"/>
    <n v="0"/>
    <n v="0"/>
    <n v="0"/>
    <n v="0"/>
    <n v="0"/>
    <n v="10"/>
    <n v="0"/>
    <n v="0"/>
    <n v="76992"/>
    <s v="AMGEN"/>
    <n v="7699.2"/>
    <x v="69"/>
    <n v="10"/>
    <d v="2017-06-16T00:00:00"/>
    <d v="2018-12-13T00:00:00"/>
    <s v="GRUPO FARMACOS ESPECIALIZADOS SA DE CV"/>
    <n v="0"/>
    <n v="0"/>
    <n v="0"/>
    <n v="10"/>
    <n v="0"/>
    <n v="0"/>
    <n v="76992"/>
    <s v="PUEBLA"/>
  </r>
  <r>
    <x v="73"/>
    <n v="2017"/>
    <x v="2"/>
    <x v="17"/>
    <x v="35"/>
    <x v="13"/>
    <x v="14"/>
    <n v="0"/>
    <n v="20"/>
    <n v="0"/>
    <n v="0"/>
    <n v="0"/>
    <n v="0"/>
    <n v="0"/>
    <n v="0"/>
    <n v="0"/>
    <n v="0"/>
    <n v="0"/>
    <n v="0"/>
    <n v="20"/>
    <n v="20"/>
    <n v="1"/>
    <n v="153984"/>
    <n v="153984"/>
    <s v="AMGEN"/>
    <n v="7699.2"/>
    <x v="71"/>
    <n v="0"/>
    <d v="2017-01-06T00:00:00"/>
    <d v="2017-04-27T00:00:00"/>
    <s v="GRUPO FARMACOS ESPECIALIZADOS SA DE CV"/>
    <n v="0"/>
    <n v="0"/>
    <n v="20"/>
    <n v="20"/>
    <n v="1"/>
    <n v="153984"/>
    <n v="153984"/>
    <s v="CHIHUAHUA"/>
  </r>
  <r>
    <x v="74"/>
    <n v="2017"/>
    <x v="2"/>
    <x v="18"/>
    <x v="36"/>
    <x v="3"/>
    <x v="3"/>
    <n v="0"/>
    <n v="0"/>
    <n v="0"/>
    <n v="0"/>
    <n v="0"/>
    <n v="0"/>
    <n v="1"/>
    <n v="0"/>
    <n v="0"/>
    <n v="0"/>
    <n v="0"/>
    <n v="0"/>
    <n v="1"/>
    <n v="1"/>
    <n v="1"/>
    <n v="3655.6"/>
    <n v="3655.6"/>
    <s v="AMGEN"/>
    <n v="3655.6"/>
    <x v="72"/>
    <n v="0"/>
    <d v="2017-07-12T00:00:00"/>
    <d v="2017-08-12T00:00:00"/>
    <s v="GRUPO FARMACOS ESPECIALIZADOS SA DE CV"/>
    <n v="0"/>
    <n v="0"/>
    <n v="1"/>
    <n v="1"/>
    <n v="1"/>
    <n v="3655.6"/>
    <n v="3655.6"/>
    <s v="VERACRUZ"/>
  </r>
  <r>
    <x v="75"/>
    <n v="2017"/>
    <x v="2"/>
    <x v="18"/>
    <x v="37"/>
    <x v="10"/>
    <x v="10"/>
    <n v="0"/>
    <n v="0"/>
    <n v="0"/>
    <n v="0"/>
    <n v="0"/>
    <n v="0"/>
    <n v="32"/>
    <n v="48"/>
    <n v="0"/>
    <n v="64"/>
    <n v="0"/>
    <n v="0"/>
    <n v="144"/>
    <n v="144"/>
    <n v="1"/>
    <n v="1957392"/>
    <n v="1957392"/>
    <s v="AMGEN"/>
    <n v="13593"/>
    <x v="73"/>
    <n v="0"/>
    <d v="2017-06-22T00:00:00"/>
    <d v="2017-12-31T00:00:00"/>
    <s v="GRUPO FARMACOS ESPECIALIZADOS SA DE CV"/>
    <n v="0"/>
    <n v="0"/>
    <n v="144"/>
    <n v="144"/>
    <n v="1"/>
    <n v="1957392"/>
    <n v="1957392"/>
    <s v="VERACRUZ"/>
  </r>
  <r>
    <x v="75"/>
    <n v="2017"/>
    <x v="2"/>
    <x v="18"/>
    <x v="37"/>
    <x v="6"/>
    <x v="6"/>
    <n v="0"/>
    <n v="0"/>
    <n v="0"/>
    <n v="0"/>
    <n v="0"/>
    <n v="0"/>
    <n v="67"/>
    <n v="69"/>
    <n v="0"/>
    <n v="72"/>
    <n v="0"/>
    <n v="0"/>
    <n v="208"/>
    <n v="208"/>
    <n v="1"/>
    <n v="921024"/>
    <n v="921024"/>
    <s v="AMGEN"/>
    <n v="4428"/>
    <x v="73"/>
    <n v="0"/>
    <d v="2017-06-22T00:00:00"/>
    <d v="2017-12-31T00:00:00"/>
    <s v="GRUPO FARMACOS ESPECIALIZADOS SA DE CV"/>
    <n v="0"/>
    <n v="0"/>
    <n v="208"/>
    <n v="208"/>
    <n v="1"/>
    <n v="921024"/>
    <n v="921024"/>
    <s v="VERACRUZ"/>
  </r>
  <r>
    <x v="75"/>
    <n v="2017"/>
    <x v="2"/>
    <x v="18"/>
    <x v="37"/>
    <x v="12"/>
    <x v="13"/>
    <n v="0"/>
    <n v="0"/>
    <n v="0"/>
    <n v="0"/>
    <n v="0"/>
    <n v="0"/>
    <n v="21"/>
    <n v="21"/>
    <n v="0"/>
    <n v="22"/>
    <n v="0"/>
    <n v="0"/>
    <n v="64"/>
    <n v="64"/>
    <n v="1"/>
    <n v="472320"/>
    <n v="472320"/>
    <s v="AMGEN"/>
    <n v="7380"/>
    <x v="73"/>
    <n v="0"/>
    <d v="2017-06-22T00:00:00"/>
    <d v="2017-12-31T00:00:00"/>
    <s v="GRUPO FARMACOS ESPECIALIZADOS SA DE CV"/>
    <n v="0"/>
    <n v="0"/>
    <n v="64"/>
    <n v="64"/>
    <n v="1"/>
    <n v="472320"/>
    <n v="472320"/>
    <s v="VERACRUZ"/>
  </r>
  <r>
    <x v="75"/>
    <n v="2017"/>
    <x v="2"/>
    <x v="18"/>
    <x v="37"/>
    <x v="13"/>
    <x v="14"/>
    <n v="0"/>
    <n v="0"/>
    <n v="0"/>
    <n v="0"/>
    <n v="0"/>
    <n v="0"/>
    <n v="30"/>
    <n v="32"/>
    <n v="0"/>
    <n v="34"/>
    <n v="0"/>
    <n v="0"/>
    <n v="96"/>
    <n v="96"/>
    <n v="1"/>
    <n v="739123.19999999995"/>
    <n v="739123.19999999995"/>
    <s v="AMGEN"/>
    <n v="7699.2"/>
    <x v="73"/>
    <n v="0"/>
    <d v="2017-06-22T00:00:00"/>
    <d v="2017-12-31T00:00:00"/>
    <s v="GRUPO FARMACOS ESPECIALIZADOS SA DE CV"/>
    <n v="0"/>
    <n v="0"/>
    <n v="96"/>
    <n v="96"/>
    <n v="1"/>
    <n v="739123.19999999995"/>
    <n v="739123.19999999995"/>
    <s v="VERACRUZ"/>
  </r>
  <r>
    <x v="76"/>
    <n v="2017"/>
    <x v="2"/>
    <x v="19"/>
    <x v="38"/>
    <x v="2"/>
    <x v="2"/>
    <n v="0"/>
    <n v="0"/>
    <n v="0"/>
    <n v="0"/>
    <n v="0"/>
    <n v="0"/>
    <n v="0"/>
    <n v="2"/>
    <n v="0"/>
    <n v="0"/>
    <n v="0"/>
    <n v="0"/>
    <n v="2"/>
    <n v="2"/>
    <n v="1"/>
    <n v="14686"/>
    <n v="14686"/>
    <s v="AMGEN"/>
    <n v="7343"/>
    <x v="74"/>
    <n v="0"/>
    <d v="2017-08-17T00:00:00"/>
    <d v="2017-09-17T00:00:00"/>
    <s v="GRUPO FARMACOS ESPECIALIZADOS SA DE CV"/>
    <n v="0"/>
    <n v="0"/>
    <n v="2"/>
    <n v="2"/>
    <n v="1"/>
    <n v="14686"/>
    <n v="14686"/>
    <s v="YUCATAN"/>
  </r>
  <r>
    <x v="77"/>
    <n v="2017"/>
    <x v="2"/>
    <x v="19"/>
    <x v="38"/>
    <x v="13"/>
    <x v="14"/>
    <n v="0"/>
    <n v="0"/>
    <n v="0"/>
    <n v="0"/>
    <n v="0"/>
    <n v="0"/>
    <n v="0"/>
    <n v="18"/>
    <n v="0"/>
    <n v="0"/>
    <n v="0"/>
    <n v="0"/>
    <n v="18"/>
    <n v="18"/>
    <n v="1"/>
    <n v="138585.60000000001"/>
    <n v="138585.60000000001"/>
    <s v="AMGEN"/>
    <n v="7699.2"/>
    <x v="75"/>
    <n v="0"/>
    <d v="2017-08-09T00:00:00"/>
    <d v="2017-09-09T00:00:00"/>
    <s v="GRUPO FARMACOS ESPECIALIZADOS SA DE CV"/>
    <n v="0"/>
    <n v="0"/>
    <n v="18"/>
    <n v="18"/>
    <n v="1"/>
    <n v="138585.60000000001"/>
    <n v="138585.60000000001"/>
    <s v="YUCATAN"/>
  </r>
  <r>
    <x v="78"/>
    <n v="2017"/>
    <x v="2"/>
    <x v="20"/>
    <x v="39"/>
    <x v="10"/>
    <x v="10"/>
    <n v="0"/>
    <n v="5"/>
    <n v="0"/>
    <n v="0"/>
    <n v="0"/>
    <n v="0"/>
    <n v="0"/>
    <n v="0"/>
    <n v="0"/>
    <n v="0"/>
    <n v="0"/>
    <n v="0"/>
    <n v="5"/>
    <n v="5"/>
    <n v="1"/>
    <n v="67965"/>
    <n v="67965"/>
    <s v="AMGEN"/>
    <n v="13593"/>
    <x v="76"/>
    <n v="0"/>
    <d v="2017-02-13T00:00:00"/>
    <d v="2017-03-25T00:00:00"/>
    <s v="GRUPO FARMACOS ESPECIALIZADOS SA DE CV"/>
    <n v="0"/>
    <n v="0"/>
    <n v="5"/>
    <n v="5"/>
    <n v="1"/>
    <n v="67965"/>
    <n v="67965"/>
    <s v="QUERETARO"/>
  </r>
  <r>
    <x v="79"/>
    <n v="2017"/>
    <x v="2"/>
    <x v="20"/>
    <x v="39"/>
    <x v="10"/>
    <x v="10"/>
    <n v="0"/>
    <n v="0"/>
    <n v="11"/>
    <n v="0"/>
    <n v="7"/>
    <n v="0"/>
    <n v="0"/>
    <n v="7"/>
    <n v="0"/>
    <n v="0"/>
    <n v="0"/>
    <n v="0"/>
    <n v="25"/>
    <n v="25"/>
    <n v="1"/>
    <n v="339825"/>
    <n v="339825"/>
    <s v="AMGEN"/>
    <n v="13593"/>
    <x v="77"/>
    <n v="0"/>
    <d v="2017-02-10T00:00:00"/>
    <d v="2017-12-16T00:00:00"/>
    <s v="GRUPO FARMACOS ESPECIALIZADOS SA DE CV"/>
    <n v="0"/>
    <n v="0"/>
    <n v="25"/>
    <n v="25"/>
    <n v="1"/>
    <n v="339825"/>
    <n v="339825"/>
    <s v="QUERETARO"/>
  </r>
  <r>
    <x v="80"/>
    <n v="2017"/>
    <x v="2"/>
    <x v="20"/>
    <x v="39"/>
    <x v="10"/>
    <x v="10"/>
    <n v="0"/>
    <n v="0"/>
    <n v="0"/>
    <n v="0"/>
    <n v="0"/>
    <n v="0"/>
    <n v="0"/>
    <n v="0"/>
    <n v="0"/>
    <n v="0"/>
    <n v="14"/>
    <n v="0"/>
    <n v="14"/>
    <n v="14"/>
    <n v="1"/>
    <n v="190302"/>
    <n v="190302"/>
    <s v="AMGEN"/>
    <n v="13593"/>
    <x v="78"/>
    <n v="0"/>
    <d v="2017-10-13T00:00:00"/>
    <d v="2017-12-25T00:00:00"/>
    <s v="GRUPO FARMACOS ESPECIALIZADOS SA DE CV"/>
    <n v="0"/>
    <n v="0"/>
    <n v="14"/>
    <n v="14"/>
    <n v="1"/>
    <n v="190302"/>
    <n v="190302"/>
    <s v="QUERETARO"/>
  </r>
  <r>
    <x v="78"/>
    <n v="2017"/>
    <x v="2"/>
    <x v="20"/>
    <x v="39"/>
    <x v="13"/>
    <x v="14"/>
    <n v="0"/>
    <n v="4"/>
    <n v="0"/>
    <n v="0"/>
    <n v="0"/>
    <n v="0"/>
    <n v="0"/>
    <n v="0"/>
    <n v="0"/>
    <n v="0"/>
    <n v="0"/>
    <n v="0"/>
    <n v="4"/>
    <n v="4"/>
    <n v="1"/>
    <n v="30796.799999999999"/>
    <n v="30796.799999999999"/>
    <s v="AMGEN"/>
    <n v="7699.2"/>
    <x v="76"/>
    <n v="0"/>
    <d v="2017-02-13T00:00:00"/>
    <d v="2017-03-25T00:00:00"/>
    <s v="GRUPO FARMACOS ESPECIALIZADOS SA DE CV"/>
    <n v="0"/>
    <n v="0"/>
    <n v="4"/>
    <n v="4"/>
    <n v="1"/>
    <n v="30796.799999999999"/>
    <n v="30796.799999999999"/>
    <s v="QUERETARO"/>
  </r>
  <r>
    <x v="79"/>
    <n v="2017"/>
    <x v="2"/>
    <x v="20"/>
    <x v="39"/>
    <x v="13"/>
    <x v="14"/>
    <n v="0"/>
    <n v="0"/>
    <n v="8"/>
    <n v="0"/>
    <n v="6"/>
    <n v="0"/>
    <n v="0"/>
    <n v="6"/>
    <n v="0"/>
    <n v="0"/>
    <n v="0"/>
    <n v="0"/>
    <n v="20"/>
    <n v="20"/>
    <n v="1"/>
    <n v="153984"/>
    <n v="153984"/>
    <s v="AMGEN"/>
    <n v="7699.2"/>
    <x v="77"/>
    <n v="0"/>
    <d v="2017-02-10T00:00:00"/>
    <d v="2017-12-16T00:00:00"/>
    <s v="GRUPO FARMACOS ESPECIALIZADOS SA DE CV"/>
    <n v="0"/>
    <n v="0"/>
    <n v="20"/>
    <n v="20"/>
    <n v="1"/>
    <n v="153984"/>
    <n v="153984"/>
    <s v="QUERETARO"/>
  </r>
  <r>
    <x v="80"/>
    <n v="2017"/>
    <x v="2"/>
    <x v="20"/>
    <x v="39"/>
    <x v="13"/>
    <x v="14"/>
    <n v="0"/>
    <n v="0"/>
    <n v="0"/>
    <n v="0"/>
    <n v="0"/>
    <n v="0"/>
    <n v="0"/>
    <n v="0"/>
    <n v="0"/>
    <n v="0"/>
    <n v="8"/>
    <n v="0"/>
    <n v="8"/>
    <n v="8"/>
    <n v="1"/>
    <n v="61593.599999999999"/>
    <n v="61593.599999999999"/>
    <s v="AMGEN"/>
    <n v="7699.2"/>
    <x v="78"/>
    <n v="0"/>
    <d v="2017-10-13T00:00:00"/>
    <d v="2017-12-25T00:00:00"/>
    <s v="GRUPO FARMACOS ESPECIALIZADOS SA DE CV"/>
    <n v="0"/>
    <n v="0"/>
    <n v="8"/>
    <n v="8"/>
    <n v="1"/>
    <n v="61593.599999999999"/>
    <n v="61593.599999999999"/>
    <s v="QUERETARO"/>
  </r>
  <r>
    <x v="81"/>
    <n v="2017"/>
    <x v="3"/>
    <x v="21"/>
    <x v="40"/>
    <x v="2"/>
    <x v="2"/>
    <n v="0"/>
    <n v="0"/>
    <n v="0"/>
    <n v="2"/>
    <n v="0"/>
    <n v="0"/>
    <n v="0"/>
    <n v="0"/>
    <n v="0"/>
    <n v="0"/>
    <n v="0"/>
    <n v="0"/>
    <n v="2"/>
    <n v="2"/>
    <n v="1"/>
    <n v="14686"/>
    <n v="14686"/>
    <s v="AMGEN"/>
    <n v="7343"/>
    <x v="79"/>
    <n v="0"/>
    <d v="2017-04-24T00:00:00"/>
    <d v="2017-05-24T00:00:00"/>
    <s v="GRUPO FARMACOS ESPECIALIZADOS SA DE CV"/>
    <n v="0"/>
    <n v="0"/>
    <n v="2"/>
    <n v="2"/>
    <n v="1"/>
    <n v="14686"/>
    <n v="14686"/>
    <s v="TAMAULIPAS"/>
  </r>
  <r>
    <x v="82"/>
    <n v="2017"/>
    <x v="3"/>
    <x v="21"/>
    <x v="40"/>
    <x v="2"/>
    <x v="2"/>
    <n v="0"/>
    <n v="0"/>
    <n v="0"/>
    <n v="0"/>
    <n v="2"/>
    <n v="0"/>
    <n v="0"/>
    <n v="0"/>
    <n v="0"/>
    <n v="0"/>
    <n v="0"/>
    <n v="0"/>
    <n v="2"/>
    <n v="2"/>
    <n v="1"/>
    <n v="14686"/>
    <n v="14686"/>
    <s v="AMGEN"/>
    <n v="7343"/>
    <x v="80"/>
    <n v="0"/>
    <d v="2017-05-03T00:00:00"/>
    <d v="2017-06-03T00:00:00"/>
    <s v="GRUPO FARMACOS ESPECIALIZADOS SA DE CV"/>
    <n v="0"/>
    <n v="0"/>
    <n v="2"/>
    <n v="2"/>
    <n v="1"/>
    <n v="14686"/>
    <n v="14686"/>
    <s v="TAMAULIPAS"/>
  </r>
  <r>
    <x v="83"/>
    <n v="2017"/>
    <x v="3"/>
    <x v="21"/>
    <x v="40"/>
    <x v="7"/>
    <x v="7"/>
    <n v="0"/>
    <n v="0"/>
    <n v="0"/>
    <n v="0"/>
    <n v="0"/>
    <n v="0"/>
    <n v="0"/>
    <n v="6"/>
    <n v="0"/>
    <n v="0"/>
    <n v="0"/>
    <n v="0"/>
    <n v="6"/>
    <n v="6"/>
    <n v="1"/>
    <n v="110007.42"/>
    <n v="110007.42"/>
    <s v="AMGEN"/>
    <n v="18334.57"/>
    <x v="81"/>
    <n v="0"/>
    <d v="2017-08-22T00:00:00"/>
    <d v="2017-09-22T00:00:00"/>
    <s v="GRUPO FARMACOS ESPECIALIZADOS SA DE CV"/>
    <n v="0"/>
    <n v="0"/>
    <n v="6"/>
    <n v="6"/>
    <n v="1"/>
    <n v="110007.42"/>
    <n v="110007.42"/>
    <s v="TAMAULIPAS"/>
  </r>
  <r>
    <x v="84"/>
    <n v="2017"/>
    <x v="3"/>
    <x v="21"/>
    <x v="40"/>
    <x v="7"/>
    <x v="7"/>
    <n v="0"/>
    <n v="0"/>
    <n v="0"/>
    <n v="0"/>
    <n v="0"/>
    <n v="0"/>
    <n v="0"/>
    <n v="0"/>
    <n v="0"/>
    <n v="0"/>
    <n v="0"/>
    <n v="3"/>
    <n v="3"/>
    <n v="3"/>
    <n v="1"/>
    <n v="55003.71"/>
    <n v="55003.71"/>
    <s v="AMGEN"/>
    <n v="18334.57"/>
    <x v="82"/>
    <n v="0"/>
    <d v="2017-12-14T00:00:00"/>
    <d v="2017-12-22T00:00:00"/>
    <s v="GRUPO FARMACOS ESPECIALIZADOS SA DE CV"/>
    <n v="0"/>
    <n v="0"/>
    <n v="3"/>
    <n v="3"/>
    <n v="1"/>
    <n v="55003.71"/>
    <n v="55003.71"/>
    <s v="TAMAULIPAS"/>
  </r>
  <r>
    <x v="85"/>
    <n v="2017"/>
    <x v="3"/>
    <x v="21"/>
    <x v="40"/>
    <x v="7"/>
    <x v="7"/>
    <n v="0"/>
    <n v="0"/>
    <n v="0"/>
    <n v="0"/>
    <n v="0"/>
    <n v="0"/>
    <n v="0"/>
    <n v="0"/>
    <n v="0"/>
    <n v="6"/>
    <n v="0"/>
    <n v="0"/>
    <n v="6"/>
    <n v="6"/>
    <n v="1"/>
    <n v="110007.42"/>
    <n v="110007.42"/>
    <s v="AMGEN"/>
    <n v="18334.57"/>
    <x v="83"/>
    <n v="0"/>
    <d v="2017-10-10T00:00:00"/>
    <d v="2017-11-10T00:00:00"/>
    <s v="GRUPO FARMACOS ESPECIALIZADOS SA DE CV"/>
    <n v="0"/>
    <n v="0"/>
    <n v="6"/>
    <n v="6"/>
    <n v="1"/>
    <n v="110007.42"/>
    <n v="110007.42"/>
    <s v="TAMAULIPAS"/>
  </r>
  <r>
    <x v="86"/>
    <n v="2017"/>
    <x v="3"/>
    <x v="21"/>
    <x v="40"/>
    <x v="7"/>
    <x v="7"/>
    <n v="0"/>
    <n v="0"/>
    <n v="0"/>
    <n v="0"/>
    <n v="0"/>
    <n v="0"/>
    <n v="0"/>
    <n v="0"/>
    <n v="0"/>
    <n v="0"/>
    <n v="6"/>
    <n v="0"/>
    <n v="6"/>
    <n v="6"/>
    <n v="1"/>
    <n v="110007.42"/>
    <n v="110007.42"/>
    <s v="AMGEN"/>
    <n v="18334.57"/>
    <x v="84"/>
    <n v="0"/>
    <d v="2017-11-17T00:00:00"/>
    <d v="2017-11-30T00:00:00"/>
    <s v="GRUPO FARMACOS ESPECIALIZADOS SA DE CV"/>
    <n v="0"/>
    <n v="0"/>
    <n v="6"/>
    <n v="6"/>
    <n v="1"/>
    <n v="110007.42"/>
    <n v="110007.42"/>
    <s v="TAMAULIPAS"/>
  </r>
  <r>
    <x v="87"/>
    <n v="2017"/>
    <x v="3"/>
    <x v="21"/>
    <x v="40"/>
    <x v="7"/>
    <x v="7"/>
    <n v="0"/>
    <n v="0"/>
    <n v="0"/>
    <n v="0"/>
    <n v="0"/>
    <n v="0"/>
    <n v="0"/>
    <n v="0"/>
    <n v="0"/>
    <n v="0"/>
    <n v="0"/>
    <n v="6"/>
    <n v="6"/>
    <n v="6"/>
    <n v="1"/>
    <n v="110007.42"/>
    <n v="110007.42"/>
    <s v="AMGEN"/>
    <n v="18334.57"/>
    <x v="85"/>
    <n v="0"/>
    <d v="2017-11-21T00:00:00"/>
    <d v="2017-12-10T00:00:00"/>
    <s v="GRUPO FARMACOS ESPECIALIZADOS SA DE CV"/>
    <n v="0"/>
    <n v="0"/>
    <n v="6"/>
    <n v="6"/>
    <n v="1"/>
    <n v="110007.42"/>
    <n v="110007.42"/>
    <s v="TAMAULIPAS"/>
  </r>
  <r>
    <x v="88"/>
    <n v="2017"/>
    <x v="3"/>
    <x v="21"/>
    <x v="40"/>
    <x v="7"/>
    <x v="7"/>
    <n v="0"/>
    <n v="0"/>
    <n v="0"/>
    <n v="0"/>
    <n v="0"/>
    <n v="0"/>
    <n v="0"/>
    <n v="0"/>
    <n v="0"/>
    <n v="0"/>
    <n v="0"/>
    <n v="9"/>
    <n v="9"/>
    <n v="9"/>
    <n v="1"/>
    <n v="165011.13"/>
    <n v="165011.13"/>
    <s v="AMGEN"/>
    <n v="18334.57"/>
    <x v="82"/>
    <n v="0"/>
    <d v="2017-12-14T00:00:00"/>
    <d v="2017-12-22T00:00:00"/>
    <s v="GRUPO FARMACOS ESPECIALIZADOS SA DE CV"/>
    <n v="0"/>
    <n v="0"/>
    <n v="9"/>
    <n v="9"/>
    <n v="1"/>
    <n v="165011.13"/>
    <n v="165011.13"/>
    <s v="TAMAULIPAS"/>
  </r>
  <r>
    <x v="89"/>
    <n v="2017"/>
    <x v="3"/>
    <x v="21"/>
    <x v="41"/>
    <x v="10"/>
    <x v="10"/>
    <n v="0"/>
    <n v="0"/>
    <n v="0"/>
    <n v="151"/>
    <n v="0"/>
    <n v="129"/>
    <n v="0"/>
    <n v="0"/>
    <n v="0"/>
    <n v="0"/>
    <n v="81"/>
    <n v="27"/>
    <n v="388"/>
    <n v="504"/>
    <n v="0.76984126984126988"/>
    <n v="5274084"/>
    <n v="6850872"/>
    <s v="AMGEN"/>
    <n v="13593"/>
    <x v="86"/>
    <n v="116"/>
    <d v="2017-03-18T00:00:00"/>
    <d v="2017-12-31T00:00:00"/>
    <s v="GRUPO FARMACOS ESPECIALIZADOS SA DE CV"/>
    <n v="0"/>
    <n v="0"/>
    <n v="388"/>
    <n v="504"/>
    <n v="0.76984126984126988"/>
    <n v="5274084"/>
    <n v="6850872"/>
    <s v="EDO. DE MEX."/>
  </r>
  <r>
    <x v="90"/>
    <n v="2017"/>
    <x v="3"/>
    <x v="21"/>
    <x v="42"/>
    <x v="13"/>
    <x v="14"/>
    <n v="0"/>
    <n v="0"/>
    <n v="0"/>
    <n v="0"/>
    <n v="0"/>
    <n v="0"/>
    <n v="0"/>
    <n v="0"/>
    <n v="0"/>
    <n v="0"/>
    <n v="9"/>
    <n v="0"/>
    <n v="9"/>
    <n v="9"/>
    <n v="1"/>
    <n v="69292.800000000003"/>
    <n v="69292.800000000003"/>
    <s v="AMGEN"/>
    <n v="7699.2"/>
    <x v="87"/>
    <n v="0"/>
    <d v="2017-11-07T00:00:00"/>
    <d v="2017-12-07T00:00:00"/>
    <s v="GRUPO FARMACOS ESPECIALIZADOS SA DE CV"/>
    <n v="0"/>
    <n v="0"/>
    <n v="9"/>
    <n v="9"/>
    <n v="1"/>
    <n v="69292.800000000003"/>
    <n v="69292.800000000003"/>
    <s v="DISTRITO FEDERAL"/>
  </r>
  <r>
    <x v="91"/>
    <n v="2017"/>
    <x v="3"/>
    <x v="21"/>
    <x v="43"/>
    <x v="2"/>
    <x v="2"/>
    <n v="0"/>
    <n v="0"/>
    <n v="0"/>
    <n v="0"/>
    <n v="0"/>
    <n v="0"/>
    <n v="0"/>
    <n v="0"/>
    <n v="0"/>
    <n v="2"/>
    <n v="0"/>
    <n v="0"/>
    <n v="2"/>
    <n v="2"/>
    <n v="1"/>
    <n v="14686"/>
    <n v="14686"/>
    <s v="AMGEN"/>
    <n v="7343"/>
    <x v="88"/>
    <n v="0"/>
    <d v="2017-10-25T00:00:00"/>
    <d v="2017-11-25T00:00:00"/>
    <s v="GRUPO FARMACOS ESPECIALIZADOS SA DE CV"/>
    <n v="0"/>
    <n v="0"/>
    <n v="2"/>
    <n v="2"/>
    <n v="1"/>
    <n v="14686"/>
    <n v="14686"/>
    <s v="DISTRITO FEDERAL"/>
  </r>
  <r>
    <x v="92"/>
    <n v="2017"/>
    <x v="3"/>
    <x v="21"/>
    <x v="43"/>
    <x v="2"/>
    <x v="2"/>
    <n v="0"/>
    <n v="0"/>
    <n v="0"/>
    <n v="0"/>
    <n v="0"/>
    <n v="0"/>
    <n v="0"/>
    <n v="0"/>
    <n v="0"/>
    <n v="2"/>
    <n v="0"/>
    <n v="0"/>
    <n v="2"/>
    <n v="2"/>
    <n v="1"/>
    <n v="14686"/>
    <n v="14686"/>
    <s v="AMGEN"/>
    <n v="7343"/>
    <x v="89"/>
    <n v="0"/>
    <d v="2017-10-13T00:00:00"/>
    <d v="2017-11-13T00:00:00"/>
    <s v="GRUPO FARMACOS ESPECIALIZADOS SA DE CV"/>
    <n v="0"/>
    <n v="0"/>
    <n v="2"/>
    <n v="2"/>
    <n v="1"/>
    <n v="14686"/>
    <n v="14686"/>
    <s v="DISTRITO FEDERAL"/>
  </r>
  <r>
    <x v="91"/>
    <n v="2017"/>
    <x v="3"/>
    <x v="21"/>
    <x v="43"/>
    <x v="13"/>
    <x v="14"/>
    <n v="0"/>
    <n v="0"/>
    <n v="0"/>
    <n v="0"/>
    <n v="0"/>
    <n v="0"/>
    <n v="0"/>
    <n v="0"/>
    <n v="0"/>
    <n v="25"/>
    <n v="0"/>
    <n v="0"/>
    <n v="25"/>
    <n v="25"/>
    <n v="1"/>
    <n v="192480"/>
    <n v="192480"/>
    <s v="AMGEN"/>
    <n v="7699.2"/>
    <x v="90"/>
    <n v="0"/>
    <d v="2017-10-19T00:00:00"/>
    <d v="2017-11-19T00:00:00"/>
    <s v="GRUPO FARMACOS ESPECIALIZADOS SA DE CV"/>
    <n v="0"/>
    <n v="0"/>
    <n v="25"/>
    <n v="25"/>
    <n v="1"/>
    <n v="192480"/>
    <n v="192480"/>
    <s v="DISTRITO FEDERAL"/>
  </r>
  <r>
    <x v="93"/>
    <n v="2017"/>
    <x v="4"/>
    <x v="22"/>
    <x v="44"/>
    <x v="3"/>
    <x v="3"/>
    <n v="0"/>
    <n v="0"/>
    <n v="0"/>
    <n v="0"/>
    <n v="125"/>
    <n v="0"/>
    <n v="0"/>
    <n v="0"/>
    <n v="0"/>
    <n v="0"/>
    <n v="0"/>
    <n v="0"/>
    <n v="125"/>
    <n v="0"/>
    <n v="0"/>
    <n v="456950"/>
    <n v="0"/>
    <s v="AMGEN"/>
    <n v="3655.6"/>
    <x v="91"/>
    <n v="-125"/>
    <d v="2016-11-11T00:00:00"/>
    <d v="2017-10-10T00:00:00"/>
    <s v="GRUPO FARMACOS ESPECIALIZADOS SA DE CV"/>
    <n v="0"/>
    <n v="0"/>
    <n v="125"/>
    <n v="0"/>
    <n v="0"/>
    <n v="456950"/>
    <n v="0"/>
    <s v="DISTRITO FEDERAL"/>
  </r>
  <r>
    <x v="94"/>
    <n v="2017"/>
    <x v="4"/>
    <x v="22"/>
    <x v="44"/>
    <x v="3"/>
    <x v="3"/>
    <n v="0"/>
    <n v="0"/>
    <n v="0"/>
    <n v="0"/>
    <n v="0"/>
    <n v="0"/>
    <n v="0"/>
    <n v="0"/>
    <n v="456"/>
    <n v="0"/>
    <n v="0"/>
    <n v="0"/>
    <n v="456"/>
    <n v="0"/>
    <n v="0"/>
    <n v="1666953.5999999999"/>
    <n v="0"/>
    <s v="AMGEN"/>
    <n v="3655.6"/>
    <x v="92"/>
    <n v="-456"/>
    <d v="2017-09-08T00:00:00"/>
    <d v="2017-12-31T00:00:00"/>
    <s v="GRUPO FARMACOS ESPECIALIZADOS SA DE CV"/>
    <n v="0"/>
    <n v="0"/>
    <n v="456"/>
    <n v="0"/>
    <n v="0"/>
    <n v="1666953.5999999999"/>
    <n v="0"/>
    <s v="DISTRITO FEDERAL"/>
  </r>
  <r>
    <x v="93"/>
    <n v="2017"/>
    <x v="4"/>
    <x v="22"/>
    <x v="44"/>
    <x v="0"/>
    <x v="0"/>
    <n v="0"/>
    <n v="0"/>
    <n v="0"/>
    <n v="0"/>
    <n v="14"/>
    <n v="0"/>
    <n v="0"/>
    <n v="0"/>
    <n v="0"/>
    <n v="0"/>
    <n v="0"/>
    <n v="0"/>
    <n v="14"/>
    <n v="0"/>
    <n v="0"/>
    <n v="36736"/>
    <n v="0"/>
    <s v="AMGEN"/>
    <n v="2624"/>
    <x v="91"/>
    <n v="-14"/>
    <d v="2016-11-11T00:00:00"/>
    <d v="2017-10-10T00:00:00"/>
    <s v="GRUPO FARMACOS ESPECIALIZADOS SA DE CV"/>
    <n v="0"/>
    <n v="0"/>
    <n v="14"/>
    <n v="0"/>
    <n v="0"/>
    <n v="36736"/>
    <n v="0"/>
    <s v="DISTRITO FEDERAL"/>
  </r>
  <r>
    <x v="95"/>
    <n v="2017"/>
    <x v="4"/>
    <x v="22"/>
    <x v="44"/>
    <x v="0"/>
    <x v="0"/>
    <n v="0"/>
    <n v="0"/>
    <n v="0"/>
    <n v="0"/>
    <n v="0"/>
    <n v="0"/>
    <n v="0"/>
    <n v="0"/>
    <n v="100"/>
    <n v="0"/>
    <n v="0"/>
    <n v="0"/>
    <n v="100"/>
    <n v="0"/>
    <n v="0"/>
    <n v="262400"/>
    <n v="0"/>
    <s v="AMGEN"/>
    <n v="2624"/>
    <x v="93"/>
    <n v="-100"/>
    <d v="2017-08-24T00:00:00"/>
    <d v="2017-12-31T00:00:00"/>
    <s v="GRUPO FARMACOS ESPECIALIZADOS SA DE CV"/>
    <n v="0"/>
    <n v="0"/>
    <n v="100"/>
    <n v="0"/>
    <n v="0"/>
    <n v="262400"/>
    <n v="0"/>
    <s v="DISTRITO FEDERAL"/>
  </r>
  <r>
    <x v="96"/>
    <n v="2017"/>
    <x v="4"/>
    <x v="22"/>
    <x v="44"/>
    <x v="8"/>
    <x v="8"/>
    <n v="0"/>
    <n v="0"/>
    <n v="0"/>
    <n v="0"/>
    <n v="7"/>
    <n v="0"/>
    <n v="0"/>
    <n v="0"/>
    <n v="0"/>
    <n v="0"/>
    <n v="0"/>
    <n v="0"/>
    <n v="7"/>
    <n v="0"/>
    <n v="0"/>
    <n v="30240"/>
    <n v="0"/>
    <s v="AMGEN"/>
    <n v="4320"/>
    <x v="94"/>
    <n v="-7"/>
    <d v="2017-02-17T00:00:00"/>
    <d v="2017-12-05T00:00:00"/>
    <s v="GRUPO FARMACOS ESPECIALIZADOS SA DE CV"/>
    <n v="0"/>
    <n v="0"/>
    <n v="7"/>
    <n v="0"/>
    <n v="0"/>
    <n v="30240"/>
    <n v="0"/>
    <s v="DISTRITO FEDERAL"/>
  </r>
  <r>
    <x v="95"/>
    <n v="2017"/>
    <x v="4"/>
    <x v="22"/>
    <x v="44"/>
    <x v="8"/>
    <x v="8"/>
    <n v="0"/>
    <n v="0"/>
    <n v="0"/>
    <n v="0"/>
    <n v="0"/>
    <n v="0"/>
    <n v="0"/>
    <n v="0"/>
    <n v="100"/>
    <n v="0"/>
    <n v="0"/>
    <n v="0"/>
    <n v="100"/>
    <n v="0"/>
    <n v="0"/>
    <n v="432000"/>
    <n v="0"/>
    <s v="AMGEN"/>
    <n v="4320"/>
    <x v="93"/>
    <n v="-100"/>
    <d v="2017-08-24T00:00:00"/>
    <d v="2017-12-31T00:00:00"/>
    <s v="GRUPO FARMACOS ESPECIALIZADOS SA DE CV"/>
    <n v="0"/>
    <n v="0"/>
    <n v="100"/>
    <n v="0"/>
    <n v="0"/>
    <n v="432000"/>
    <n v="0"/>
    <s v="DISTRITO FEDERAL"/>
  </r>
  <r>
    <x v="93"/>
    <n v="2017"/>
    <x v="4"/>
    <x v="22"/>
    <x v="44"/>
    <x v="6"/>
    <x v="6"/>
    <n v="0"/>
    <n v="0"/>
    <n v="0"/>
    <n v="0"/>
    <n v="45"/>
    <n v="0"/>
    <n v="0"/>
    <n v="0"/>
    <n v="0"/>
    <n v="0"/>
    <n v="0"/>
    <n v="0"/>
    <n v="45"/>
    <n v="0"/>
    <n v="0"/>
    <n v="199260"/>
    <n v="0"/>
    <s v="AMGEN"/>
    <n v="4428"/>
    <x v="91"/>
    <n v="-45"/>
    <d v="2016-11-11T00:00:00"/>
    <d v="2017-10-10T00:00:00"/>
    <s v="GRUPO FARMACOS ESPECIALIZADOS SA DE CV"/>
    <n v="0"/>
    <n v="0"/>
    <n v="45"/>
    <n v="0"/>
    <n v="0"/>
    <n v="199260"/>
    <n v="0"/>
    <s v="DISTRITO FEDERAL"/>
  </r>
  <r>
    <x v="95"/>
    <n v="2017"/>
    <x v="4"/>
    <x v="22"/>
    <x v="44"/>
    <x v="6"/>
    <x v="6"/>
    <n v="0"/>
    <n v="0"/>
    <n v="0"/>
    <n v="0"/>
    <n v="0"/>
    <n v="0"/>
    <n v="0"/>
    <n v="0"/>
    <n v="10"/>
    <n v="0"/>
    <n v="0"/>
    <n v="0"/>
    <n v="10"/>
    <n v="0"/>
    <n v="0"/>
    <n v="44280"/>
    <n v="0"/>
    <s v="AMGEN"/>
    <n v="4428"/>
    <x v="93"/>
    <n v="-10"/>
    <d v="2017-08-24T00:00:00"/>
    <d v="2017-12-31T00:00:00"/>
    <s v="GRUPO FARMACOS ESPECIALIZADOS SA DE CV"/>
    <n v="0"/>
    <n v="0"/>
    <n v="10"/>
    <n v="0"/>
    <n v="0"/>
    <n v="44280"/>
    <n v="0"/>
    <s v="DISTRITO FEDERAL"/>
  </r>
  <r>
    <x v="95"/>
    <n v="2017"/>
    <x v="4"/>
    <x v="22"/>
    <x v="44"/>
    <x v="1"/>
    <x v="1"/>
    <n v="0"/>
    <n v="0"/>
    <n v="0"/>
    <n v="0"/>
    <n v="0"/>
    <n v="0"/>
    <n v="0"/>
    <n v="0"/>
    <n v="6"/>
    <n v="0"/>
    <n v="0"/>
    <n v="0"/>
    <n v="6"/>
    <n v="0"/>
    <n v="0"/>
    <n v="13989"/>
    <n v="0"/>
    <s v="AMGEN"/>
    <n v="2331.5"/>
    <x v="93"/>
    <n v="-6"/>
    <d v="2017-08-24T00:00:00"/>
    <d v="2017-12-31T00:00:00"/>
    <s v="GRUPO FARMACOS ESPECIALIZADOS SA DE CV"/>
    <n v="0"/>
    <n v="0"/>
    <n v="6"/>
    <n v="0"/>
    <n v="0"/>
    <n v="13989"/>
    <n v="0"/>
    <s v="DISTRITO FEDERAL"/>
  </r>
  <r>
    <x v="93"/>
    <n v="2017"/>
    <x v="4"/>
    <x v="22"/>
    <x v="45"/>
    <x v="10"/>
    <x v="10"/>
    <n v="450"/>
    <n v="0"/>
    <n v="0"/>
    <n v="450"/>
    <n v="0"/>
    <n v="0"/>
    <n v="0"/>
    <n v="0"/>
    <n v="0"/>
    <n v="0"/>
    <n v="0"/>
    <n v="0"/>
    <n v="900"/>
    <n v="0"/>
    <n v="0"/>
    <n v="12234222"/>
    <n v="0"/>
    <s v="AMGEN"/>
    <n v="13593.58"/>
    <x v="91"/>
    <n v="-900"/>
    <d v="2016-11-11T00:00:00"/>
    <d v="2017-10-10T00:00:00"/>
    <s v="GRUPO FARMACOS ESPECIALIZADOS SA DE CV"/>
    <n v="0"/>
    <n v="0"/>
    <n v="900"/>
    <n v="0"/>
    <n v="0"/>
    <n v="12234222"/>
    <n v="0"/>
    <s v="DISTRITO FEDERAL"/>
  </r>
  <r>
    <x v="93"/>
    <n v="2017"/>
    <x v="4"/>
    <x v="22"/>
    <x v="45"/>
    <x v="3"/>
    <x v="3"/>
    <n v="45"/>
    <n v="0"/>
    <n v="0"/>
    <n v="45"/>
    <n v="0"/>
    <n v="0"/>
    <n v="0"/>
    <n v="0"/>
    <n v="0"/>
    <n v="0"/>
    <n v="0"/>
    <n v="0"/>
    <n v="90"/>
    <n v="0"/>
    <n v="0"/>
    <n v="329004"/>
    <n v="0"/>
    <s v="AMGEN"/>
    <n v="3655.6"/>
    <x v="91"/>
    <n v="-90"/>
    <d v="2016-11-11T00:00:00"/>
    <d v="2017-10-10T00:00:00"/>
    <s v="GRUPO FARMACOS ESPECIALIZADOS SA DE CV"/>
    <n v="0"/>
    <n v="0"/>
    <n v="90"/>
    <n v="0"/>
    <n v="0"/>
    <n v="329004"/>
    <n v="0"/>
    <s v="DISTRITO FEDERAL"/>
  </r>
  <r>
    <x v="94"/>
    <n v="2017"/>
    <x v="4"/>
    <x v="22"/>
    <x v="45"/>
    <x v="3"/>
    <x v="3"/>
    <n v="0"/>
    <n v="0"/>
    <n v="0"/>
    <n v="0"/>
    <n v="0"/>
    <n v="0"/>
    <n v="0"/>
    <n v="0"/>
    <n v="150"/>
    <n v="0"/>
    <n v="0"/>
    <n v="0"/>
    <n v="150"/>
    <n v="0"/>
    <n v="0"/>
    <n v="548340"/>
    <n v="0"/>
    <s v="AMGEN"/>
    <n v="3655.6"/>
    <x v="92"/>
    <n v="-150"/>
    <d v="2017-09-08T00:00:00"/>
    <d v="2017-12-31T00:00:00"/>
    <s v="GRUPO FARMACOS ESPECIALIZADOS SA DE CV"/>
    <n v="0"/>
    <n v="0"/>
    <n v="150"/>
    <n v="0"/>
    <n v="0"/>
    <n v="548340"/>
    <n v="0"/>
    <s v="DISTRITO FEDERAL"/>
  </r>
  <r>
    <x v="93"/>
    <n v="2017"/>
    <x v="4"/>
    <x v="22"/>
    <x v="45"/>
    <x v="2"/>
    <x v="2"/>
    <n v="50"/>
    <n v="0"/>
    <n v="0"/>
    <n v="50"/>
    <n v="0"/>
    <n v="0"/>
    <n v="0"/>
    <n v="0"/>
    <n v="0"/>
    <n v="0"/>
    <n v="0"/>
    <n v="0"/>
    <n v="100"/>
    <n v="0"/>
    <n v="0"/>
    <n v="734300"/>
    <n v="0"/>
    <s v="AMGEN"/>
    <n v="7343"/>
    <x v="91"/>
    <n v="-100"/>
    <d v="2016-11-11T00:00:00"/>
    <d v="2017-10-10T00:00:00"/>
    <s v="GRUPO FARMACOS ESPECIALIZADOS SA DE CV"/>
    <n v="0"/>
    <n v="0"/>
    <n v="100"/>
    <n v="0"/>
    <n v="0"/>
    <n v="734300"/>
    <n v="0"/>
    <s v="DISTRITO FEDERAL"/>
  </r>
  <r>
    <x v="95"/>
    <n v="2017"/>
    <x v="4"/>
    <x v="22"/>
    <x v="45"/>
    <x v="2"/>
    <x v="2"/>
    <n v="0"/>
    <n v="0"/>
    <n v="0"/>
    <n v="0"/>
    <n v="0"/>
    <n v="0"/>
    <n v="0"/>
    <n v="0"/>
    <n v="100"/>
    <n v="0"/>
    <n v="0"/>
    <n v="0"/>
    <n v="100"/>
    <n v="0"/>
    <n v="0"/>
    <n v="734300"/>
    <n v="0"/>
    <s v="AMGEN"/>
    <n v="7343"/>
    <x v="93"/>
    <n v="-100"/>
    <d v="2017-08-24T00:00:00"/>
    <d v="2017-12-31T00:00:00"/>
    <s v="GRUPO FARMACOS ESPECIALIZADOS SA DE CV"/>
    <n v="0"/>
    <n v="0"/>
    <n v="100"/>
    <n v="0"/>
    <n v="0"/>
    <n v="734300"/>
    <n v="0"/>
    <s v="DISTRITO FEDERAL"/>
  </r>
  <r>
    <x v="93"/>
    <n v="2017"/>
    <x v="4"/>
    <x v="22"/>
    <x v="45"/>
    <x v="0"/>
    <x v="0"/>
    <n v="150"/>
    <n v="0"/>
    <n v="0"/>
    <n v="150"/>
    <n v="0"/>
    <n v="0"/>
    <n v="0"/>
    <n v="0"/>
    <n v="0"/>
    <n v="0"/>
    <n v="0"/>
    <n v="0"/>
    <n v="300"/>
    <n v="0"/>
    <n v="0"/>
    <n v="787200"/>
    <n v="0"/>
    <s v="AMGEN"/>
    <n v="2624"/>
    <x v="91"/>
    <n v="-300"/>
    <d v="2016-11-11T00:00:00"/>
    <d v="2017-10-10T00:00:00"/>
    <s v="GRUPO FARMACOS ESPECIALIZADOS SA DE CV"/>
    <n v="0"/>
    <n v="0"/>
    <n v="300"/>
    <n v="0"/>
    <n v="0"/>
    <n v="787200"/>
    <n v="0"/>
    <s v="DISTRITO FEDERAL"/>
  </r>
  <r>
    <x v="95"/>
    <n v="2017"/>
    <x v="4"/>
    <x v="22"/>
    <x v="45"/>
    <x v="0"/>
    <x v="0"/>
    <n v="0"/>
    <n v="0"/>
    <n v="0"/>
    <n v="0"/>
    <n v="0"/>
    <n v="0"/>
    <n v="0"/>
    <n v="0"/>
    <n v="400"/>
    <n v="0"/>
    <n v="0"/>
    <n v="0"/>
    <n v="400"/>
    <n v="0"/>
    <n v="0"/>
    <n v="1049600"/>
    <n v="0"/>
    <s v="AMGEN"/>
    <n v="2624"/>
    <x v="93"/>
    <n v="-400"/>
    <d v="2017-08-24T00:00:00"/>
    <d v="2017-12-31T00:00:00"/>
    <s v="GRUPO FARMACOS ESPECIALIZADOS SA DE CV"/>
    <n v="0"/>
    <n v="0"/>
    <n v="400"/>
    <n v="0"/>
    <n v="0"/>
    <n v="1049600"/>
    <n v="0"/>
    <s v="DISTRITO FEDERAL"/>
  </r>
  <r>
    <x v="96"/>
    <n v="2017"/>
    <x v="4"/>
    <x v="22"/>
    <x v="45"/>
    <x v="8"/>
    <x v="8"/>
    <n v="0"/>
    <n v="150"/>
    <n v="0"/>
    <n v="150"/>
    <n v="0"/>
    <n v="0"/>
    <n v="0"/>
    <n v="0"/>
    <n v="0"/>
    <n v="0"/>
    <n v="0"/>
    <n v="0"/>
    <n v="300"/>
    <n v="0"/>
    <n v="0"/>
    <n v="1296000"/>
    <n v="0"/>
    <s v="AMGEN"/>
    <n v="4320"/>
    <x v="94"/>
    <n v="-300"/>
    <d v="2017-02-17T00:00:00"/>
    <d v="2017-12-05T00:00:00"/>
    <s v="GRUPO FARMACOS ESPECIALIZADOS SA DE CV"/>
    <n v="0"/>
    <n v="0"/>
    <n v="300"/>
    <n v="0"/>
    <n v="0"/>
    <n v="1296000"/>
    <n v="0"/>
    <s v="DISTRITO FEDERAL"/>
  </r>
  <r>
    <x v="95"/>
    <n v="2017"/>
    <x v="4"/>
    <x v="22"/>
    <x v="45"/>
    <x v="8"/>
    <x v="8"/>
    <n v="0"/>
    <n v="0"/>
    <n v="0"/>
    <n v="0"/>
    <n v="0"/>
    <n v="0"/>
    <n v="0"/>
    <n v="0"/>
    <n v="840"/>
    <n v="0"/>
    <n v="0"/>
    <n v="0"/>
    <n v="840"/>
    <n v="0"/>
    <n v="0"/>
    <n v="3628800"/>
    <n v="0"/>
    <s v="AMGEN"/>
    <n v="4320"/>
    <x v="93"/>
    <n v="-840"/>
    <d v="2017-08-24T00:00:00"/>
    <d v="2017-12-31T00:00:00"/>
    <s v="GRUPO FARMACOS ESPECIALIZADOS SA DE CV"/>
    <n v="0"/>
    <n v="0"/>
    <n v="840"/>
    <n v="0"/>
    <n v="0"/>
    <n v="3628800"/>
    <n v="0"/>
    <s v="DISTRITO FEDERAL"/>
  </r>
  <r>
    <x v="93"/>
    <n v="2017"/>
    <x v="4"/>
    <x v="22"/>
    <x v="45"/>
    <x v="6"/>
    <x v="6"/>
    <n v="50"/>
    <n v="0"/>
    <n v="0"/>
    <n v="50"/>
    <n v="0"/>
    <n v="0"/>
    <n v="0"/>
    <n v="0"/>
    <n v="0"/>
    <n v="0"/>
    <n v="0"/>
    <n v="0"/>
    <n v="100"/>
    <n v="0"/>
    <n v="0"/>
    <n v="442800"/>
    <n v="0"/>
    <s v="AMGEN"/>
    <n v="4428"/>
    <x v="91"/>
    <n v="-100"/>
    <d v="2016-11-11T00:00:00"/>
    <d v="2017-10-10T00:00:00"/>
    <s v="GRUPO FARMACOS ESPECIALIZADOS SA DE CV"/>
    <n v="0"/>
    <n v="0"/>
    <n v="100"/>
    <n v="0"/>
    <n v="0"/>
    <n v="442800"/>
    <n v="0"/>
    <s v="DISTRITO FEDERAL"/>
  </r>
  <r>
    <x v="95"/>
    <n v="2017"/>
    <x v="4"/>
    <x v="22"/>
    <x v="45"/>
    <x v="6"/>
    <x v="6"/>
    <n v="0"/>
    <n v="0"/>
    <n v="0"/>
    <n v="0"/>
    <n v="0"/>
    <n v="0"/>
    <n v="0"/>
    <n v="0"/>
    <n v="100"/>
    <n v="0"/>
    <n v="0"/>
    <n v="0"/>
    <n v="100"/>
    <n v="0"/>
    <n v="0"/>
    <n v="442800"/>
    <n v="0"/>
    <s v="AMGEN"/>
    <n v="4428"/>
    <x v="93"/>
    <n v="-100"/>
    <d v="2017-08-24T00:00:00"/>
    <d v="2017-12-31T00:00:00"/>
    <s v="GRUPO FARMACOS ESPECIALIZADOS SA DE CV"/>
    <n v="0"/>
    <n v="0"/>
    <n v="100"/>
    <n v="0"/>
    <n v="0"/>
    <n v="442800"/>
    <n v="0"/>
    <s v="DISTRITO FEDERAL"/>
  </r>
  <r>
    <x v="93"/>
    <n v="2017"/>
    <x v="4"/>
    <x v="22"/>
    <x v="45"/>
    <x v="1"/>
    <x v="1"/>
    <n v="180"/>
    <n v="0"/>
    <n v="0"/>
    <n v="180"/>
    <n v="0"/>
    <n v="0"/>
    <n v="0"/>
    <n v="0"/>
    <n v="0"/>
    <n v="0"/>
    <n v="0"/>
    <n v="0"/>
    <n v="360"/>
    <n v="0"/>
    <n v="0"/>
    <n v="839340"/>
    <n v="0"/>
    <s v="AMGEN"/>
    <n v="2331.5"/>
    <x v="91"/>
    <n v="-360"/>
    <d v="2016-11-11T00:00:00"/>
    <d v="2017-10-10T00:00:00"/>
    <s v="GRUPO FARMACOS ESPECIALIZADOS SA DE CV"/>
    <n v="0"/>
    <n v="0"/>
    <n v="360"/>
    <n v="0"/>
    <n v="0"/>
    <n v="839340"/>
    <n v="0"/>
    <s v="DISTRITO FEDERAL"/>
  </r>
  <r>
    <x v="95"/>
    <n v="2017"/>
    <x v="4"/>
    <x v="22"/>
    <x v="45"/>
    <x v="1"/>
    <x v="1"/>
    <n v="0"/>
    <n v="0"/>
    <n v="0"/>
    <n v="0"/>
    <n v="0"/>
    <n v="0"/>
    <n v="0"/>
    <n v="0"/>
    <n v="400"/>
    <n v="0"/>
    <n v="0"/>
    <n v="0"/>
    <n v="400"/>
    <n v="0"/>
    <n v="0"/>
    <n v="932600"/>
    <n v="0"/>
    <s v="AMGEN"/>
    <n v="2331.5"/>
    <x v="93"/>
    <n v="-400"/>
    <d v="2017-08-24T00:00:00"/>
    <d v="2017-12-31T00:00:00"/>
    <s v="GRUPO FARMACOS ESPECIALIZADOS SA DE CV"/>
    <n v="0"/>
    <n v="0"/>
    <n v="400"/>
    <n v="0"/>
    <n v="0"/>
    <n v="932600"/>
    <n v="0"/>
    <s v="DISTRITO FEDERAL"/>
  </r>
  <r>
    <x v="93"/>
    <n v="2017"/>
    <x v="4"/>
    <x v="22"/>
    <x v="45"/>
    <x v="4"/>
    <x v="4"/>
    <n v="83"/>
    <n v="0"/>
    <n v="0"/>
    <n v="82"/>
    <n v="0"/>
    <n v="0"/>
    <n v="0"/>
    <n v="0"/>
    <n v="0"/>
    <n v="0"/>
    <n v="0"/>
    <n v="0"/>
    <n v="165"/>
    <n v="0"/>
    <n v="0"/>
    <n v="1148202"/>
    <n v="0"/>
    <s v="AMGEN"/>
    <n v="6958.8"/>
    <x v="91"/>
    <n v="-165"/>
    <d v="2016-11-11T00:00:00"/>
    <d v="2017-10-10T00:00:00"/>
    <s v="GRUPO FARMACOS ESPECIALIZADOS SA DE CV"/>
    <n v="0"/>
    <n v="0"/>
    <n v="165"/>
    <n v="0"/>
    <n v="0"/>
    <n v="1148202"/>
    <n v="0"/>
    <s v="DISTRITO FEDERAL"/>
  </r>
  <r>
    <x v="94"/>
    <n v="2017"/>
    <x v="4"/>
    <x v="22"/>
    <x v="45"/>
    <x v="4"/>
    <x v="4"/>
    <n v="0"/>
    <n v="0"/>
    <n v="0"/>
    <n v="0"/>
    <n v="0"/>
    <n v="0"/>
    <n v="0"/>
    <n v="0"/>
    <n v="200"/>
    <n v="0"/>
    <n v="0"/>
    <n v="0"/>
    <n v="200"/>
    <n v="0"/>
    <n v="0"/>
    <n v="1335600"/>
    <n v="0"/>
    <s v="AMGEN"/>
    <n v="6678"/>
    <x v="92"/>
    <n v="-200"/>
    <d v="2017-09-08T00:00:00"/>
    <d v="2017-12-31T00:00:00"/>
    <s v="GRUPO FARMACOS ESPECIALIZADOS SA DE CV"/>
    <n v="0"/>
    <n v="0"/>
    <n v="200"/>
    <n v="0"/>
    <n v="0"/>
    <n v="1335600"/>
    <n v="0"/>
    <s v="DISTRITO FEDERAL"/>
  </r>
  <r>
    <x v="93"/>
    <n v="2017"/>
    <x v="4"/>
    <x v="22"/>
    <x v="46"/>
    <x v="10"/>
    <x v="10"/>
    <n v="5"/>
    <n v="0"/>
    <n v="0"/>
    <n v="4"/>
    <n v="0"/>
    <n v="0"/>
    <n v="0"/>
    <n v="0"/>
    <n v="0"/>
    <n v="0"/>
    <n v="0"/>
    <n v="0"/>
    <n v="9"/>
    <n v="0"/>
    <n v="0"/>
    <n v="122342.22"/>
    <n v="0"/>
    <s v="AMGEN"/>
    <n v="13593.58"/>
    <x v="91"/>
    <n v="-9"/>
    <d v="2016-11-11T00:00:00"/>
    <d v="2017-10-10T00:00:00"/>
    <s v="GRUPO FARMACOS ESPECIALIZADOS SA DE CV"/>
    <n v="0"/>
    <n v="0"/>
    <n v="9"/>
    <n v="0"/>
    <n v="0"/>
    <n v="122342.22"/>
    <n v="0"/>
    <s v="DISTRITO FEDERAL"/>
  </r>
  <r>
    <x v="93"/>
    <n v="2017"/>
    <x v="4"/>
    <x v="22"/>
    <x v="46"/>
    <x v="3"/>
    <x v="3"/>
    <n v="125"/>
    <n v="0"/>
    <n v="0"/>
    <n v="125"/>
    <n v="0"/>
    <n v="0"/>
    <n v="0"/>
    <n v="0"/>
    <n v="0"/>
    <n v="0"/>
    <n v="0"/>
    <n v="0"/>
    <n v="250"/>
    <n v="0"/>
    <n v="0"/>
    <n v="913900"/>
    <n v="0"/>
    <s v="AMGEN"/>
    <n v="3655.6"/>
    <x v="91"/>
    <n v="-250"/>
    <d v="2016-11-11T00:00:00"/>
    <d v="2017-10-10T00:00:00"/>
    <s v="GRUPO FARMACOS ESPECIALIZADOS SA DE CV"/>
    <n v="0"/>
    <n v="0"/>
    <n v="250"/>
    <n v="0"/>
    <n v="0"/>
    <n v="913900"/>
    <n v="0"/>
    <s v="DISTRITO FEDERAL"/>
  </r>
  <r>
    <x v="94"/>
    <n v="2017"/>
    <x v="4"/>
    <x v="22"/>
    <x v="46"/>
    <x v="3"/>
    <x v="3"/>
    <n v="0"/>
    <n v="0"/>
    <n v="0"/>
    <n v="0"/>
    <n v="0"/>
    <n v="0"/>
    <n v="0"/>
    <n v="0"/>
    <n v="400"/>
    <n v="0"/>
    <n v="0"/>
    <n v="0"/>
    <n v="400"/>
    <n v="0"/>
    <n v="0"/>
    <n v="1462240"/>
    <n v="0"/>
    <s v="AMGEN"/>
    <n v="3655.6"/>
    <x v="92"/>
    <n v="-400"/>
    <d v="2017-09-08T00:00:00"/>
    <d v="2017-12-31T00:00:00"/>
    <s v="GRUPO FARMACOS ESPECIALIZADOS SA DE CV"/>
    <n v="0"/>
    <n v="0"/>
    <n v="400"/>
    <n v="0"/>
    <n v="0"/>
    <n v="1462240"/>
    <n v="0"/>
    <s v="DISTRITO FEDERAL"/>
  </r>
  <r>
    <x v="93"/>
    <n v="2017"/>
    <x v="4"/>
    <x v="22"/>
    <x v="47"/>
    <x v="10"/>
    <x v="10"/>
    <n v="0"/>
    <n v="0"/>
    <n v="0"/>
    <n v="0"/>
    <n v="0"/>
    <n v="0"/>
    <n v="0"/>
    <n v="0"/>
    <n v="0"/>
    <n v="0"/>
    <n v="0"/>
    <n v="0"/>
    <n v="0"/>
    <n v="909"/>
    <n v="0"/>
    <n v="0"/>
    <n v="12356564.220000001"/>
    <s v="AMGEN"/>
    <n v="13593.58"/>
    <x v="91"/>
    <n v="909"/>
    <d v="2016-11-11T00:00:00"/>
    <d v="2017-10-10T00:00:00"/>
    <s v="GRUPO FARMACOS ESPECIALIZADOS SA DE CV"/>
    <n v="0"/>
    <n v="0"/>
    <n v="0"/>
    <n v="909"/>
    <n v="0"/>
    <n v="0"/>
    <n v="12356564.220000001"/>
    <s v="DISTRITO FEDERAL"/>
  </r>
  <r>
    <x v="97"/>
    <n v="2017"/>
    <x v="4"/>
    <x v="22"/>
    <x v="47"/>
    <x v="3"/>
    <x v="3"/>
    <n v="0"/>
    <n v="0"/>
    <n v="0"/>
    <n v="0"/>
    <n v="0"/>
    <n v="0"/>
    <n v="0"/>
    <n v="0"/>
    <n v="0"/>
    <n v="3"/>
    <n v="0"/>
    <n v="0"/>
    <n v="3"/>
    <n v="3"/>
    <n v="1"/>
    <n v="10966.8"/>
    <n v="10966.8"/>
    <s v="AMGEN"/>
    <n v="3655.6"/>
    <x v="95"/>
    <n v="0"/>
    <d v="2017-10-04T00:00:00"/>
    <d v="2017-11-04T00:00:00"/>
    <s v="GRUPO FARMACOS ESPECIALIZADOS SA DE CV"/>
    <n v="0"/>
    <n v="0"/>
    <n v="3"/>
    <n v="3"/>
    <n v="1"/>
    <n v="10966.8"/>
    <n v="10966.8"/>
    <s v="DISTRITO FEDERAL"/>
  </r>
  <r>
    <x v="93"/>
    <n v="2017"/>
    <x v="4"/>
    <x v="22"/>
    <x v="47"/>
    <x v="3"/>
    <x v="3"/>
    <n v="63"/>
    <n v="0"/>
    <n v="0"/>
    <n v="62"/>
    <n v="-125"/>
    <n v="0"/>
    <n v="0"/>
    <n v="0"/>
    <n v="0"/>
    <n v="0"/>
    <n v="0"/>
    <n v="0"/>
    <n v="0"/>
    <n v="865"/>
    <n v="0"/>
    <n v="0"/>
    <n v="3162094"/>
    <s v="AMGEN"/>
    <n v="3655.6"/>
    <x v="91"/>
    <n v="865"/>
    <d v="2016-11-11T00:00:00"/>
    <d v="2017-10-10T00:00:00"/>
    <s v="GRUPO FARMACOS ESPECIALIZADOS SA DE CV"/>
    <n v="0"/>
    <n v="0"/>
    <n v="0"/>
    <n v="865"/>
    <n v="0"/>
    <n v="0"/>
    <n v="3162094"/>
    <s v="DISTRITO FEDERAL"/>
  </r>
  <r>
    <x v="94"/>
    <n v="2017"/>
    <x v="4"/>
    <x v="22"/>
    <x v="47"/>
    <x v="3"/>
    <x v="3"/>
    <n v="0"/>
    <n v="0"/>
    <n v="0"/>
    <n v="0"/>
    <n v="0"/>
    <n v="0"/>
    <n v="0"/>
    <n v="0"/>
    <n v="0"/>
    <n v="0"/>
    <n v="0"/>
    <n v="0"/>
    <n v="0"/>
    <n v="2006"/>
    <n v="0"/>
    <n v="0"/>
    <n v="7333133.5999999996"/>
    <s v="AMGEN"/>
    <n v="3655.6"/>
    <x v="92"/>
    <n v="2006"/>
    <d v="2017-09-08T00:00:00"/>
    <d v="2017-12-31T00:00:00"/>
    <s v="GRUPO FARMACOS ESPECIALIZADOS SA DE CV"/>
    <n v="0"/>
    <n v="0"/>
    <n v="0"/>
    <n v="2006"/>
    <n v="0"/>
    <n v="0"/>
    <n v="7333133.5999999996"/>
    <s v="DISTRITO FEDERAL"/>
  </r>
  <r>
    <x v="98"/>
    <n v="2017"/>
    <x v="4"/>
    <x v="22"/>
    <x v="47"/>
    <x v="2"/>
    <x v="2"/>
    <n v="0"/>
    <n v="0"/>
    <n v="0"/>
    <n v="0"/>
    <n v="0"/>
    <n v="0"/>
    <n v="0"/>
    <n v="0"/>
    <n v="0"/>
    <n v="0"/>
    <n v="4"/>
    <n v="0"/>
    <n v="4"/>
    <n v="4"/>
    <n v="1"/>
    <n v="29372"/>
    <n v="29372"/>
    <s v="AMGEN"/>
    <n v="7343"/>
    <x v="96"/>
    <n v="0"/>
    <d v="2017-10-06T00:00:00"/>
    <d v="2017-11-30T00:00:00"/>
    <s v="GRUPO FARMACOS ESPECIALIZADOS SA DE CV"/>
    <n v="0"/>
    <n v="0"/>
    <n v="4"/>
    <n v="4"/>
    <n v="1"/>
    <n v="29372"/>
    <n v="29372"/>
    <s v="DISTRITO FEDERAL"/>
  </r>
  <r>
    <x v="93"/>
    <n v="2017"/>
    <x v="4"/>
    <x v="22"/>
    <x v="47"/>
    <x v="2"/>
    <x v="2"/>
    <n v="0"/>
    <n v="0"/>
    <n v="0"/>
    <n v="0"/>
    <n v="0"/>
    <n v="0"/>
    <n v="0"/>
    <n v="0"/>
    <n v="0"/>
    <n v="0"/>
    <n v="0"/>
    <n v="0"/>
    <n v="0"/>
    <n v="100"/>
    <n v="0"/>
    <n v="0"/>
    <n v="734300"/>
    <s v="AMGEN"/>
    <n v="7343"/>
    <x v="91"/>
    <n v="100"/>
    <d v="2016-11-11T00:00:00"/>
    <d v="2017-10-10T00:00:00"/>
    <s v="GRUPO FARMACOS ESPECIALIZADOS SA DE CV"/>
    <n v="0"/>
    <n v="0"/>
    <n v="0"/>
    <n v="100"/>
    <n v="0"/>
    <n v="0"/>
    <n v="734300"/>
    <s v="DISTRITO FEDERAL"/>
  </r>
  <r>
    <x v="95"/>
    <n v="2017"/>
    <x v="4"/>
    <x v="22"/>
    <x v="47"/>
    <x v="2"/>
    <x v="2"/>
    <n v="0"/>
    <n v="0"/>
    <n v="0"/>
    <n v="0"/>
    <n v="0"/>
    <n v="0"/>
    <n v="0"/>
    <n v="0"/>
    <n v="0"/>
    <n v="0"/>
    <n v="0"/>
    <n v="0"/>
    <n v="0"/>
    <n v="100"/>
    <n v="0"/>
    <n v="0"/>
    <n v="734300"/>
    <s v="AMGEN"/>
    <n v="7343"/>
    <x v="93"/>
    <n v="100"/>
    <d v="2017-08-24T00:00:00"/>
    <d v="2017-12-31T00:00:00"/>
    <s v="GRUPO FARMACOS ESPECIALIZADOS SA DE CV"/>
    <n v="0"/>
    <n v="0"/>
    <n v="0"/>
    <n v="100"/>
    <n v="0"/>
    <n v="0"/>
    <n v="734300"/>
    <s v="DISTRITO FEDERAL"/>
  </r>
  <r>
    <x v="99"/>
    <n v="2017"/>
    <x v="4"/>
    <x v="22"/>
    <x v="47"/>
    <x v="0"/>
    <x v="0"/>
    <n v="0"/>
    <n v="0"/>
    <n v="0"/>
    <n v="0"/>
    <n v="0"/>
    <n v="0"/>
    <n v="2"/>
    <n v="0"/>
    <n v="0"/>
    <n v="0"/>
    <n v="0"/>
    <n v="0"/>
    <n v="2"/>
    <n v="2"/>
    <n v="1"/>
    <n v="5248"/>
    <n v="5248"/>
    <s v="AMGEN"/>
    <n v="2624"/>
    <x v="97"/>
    <n v="0"/>
    <d v="2017-06-15T00:00:00"/>
    <d v="2017-08-31T00:00:00"/>
    <s v="GRUPO FARMACOS ESPECIALIZADOS SA DE CV"/>
    <n v="0"/>
    <n v="0"/>
    <n v="2"/>
    <n v="2"/>
    <n v="1"/>
    <n v="5248"/>
    <n v="5248"/>
    <s v="DISTRITO FEDERAL"/>
  </r>
  <r>
    <x v="93"/>
    <n v="2017"/>
    <x v="4"/>
    <x v="22"/>
    <x v="47"/>
    <x v="0"/>
    <x v="0"/>
    <n v="7"/>
    <n v="0"/>
    <n v="0"/>
    <n v="7"/>
    <n v="-14"/>
    <n v="0"/>
    <n v="0"/>
    <n v="0"/>
    <n v="0"/>
    <n v="0"/>
    <n v="0"/>
    <n v="0"/>
    <n v="0"/>
    <n v="314"/>
    <n v="0"/>
    <n v="0"/>
    <n v="823936"/>
    <s v="AMGEN"/>
    <n v="2624"/>
    <x v="91"/>
    <n v="314"/>
    <d v="2016-11-11T00:00:00"/>
    <d v="2017-10-10T00:00:00"/>
    <s v="GRUPO FARMACOS ESPECIALIZADOS SA DE CV"/>
    <n v="0"/>
    <n v="0"/>
    <n v="0"/>
    <n v="314"/>
    <n v="0"/>
    <n v="0"/>
    <n v="823936"/>
    <s v="DISTRITO FEDERAL"/>
  </r>
  <r>
    <x v="95"/>
    <n v="2017"/>
    <x v="4"/>
    <x v="22"/>
    <x v="47"/>
    <x v="0"/>
    <x v="0"/>
    <n v="0"/>
    <n v="0"/>
    <n v="0"/>
    <n v="0"/>
    <n v="0"/>
    <n v="0"/>
    <n v="0"/>
    <n v="0"/>
    <n v="0"/>
    <n v="0"/>
    <n v="0"/>
    <n v="0"/>
    <n v="0"/>
    <n v="500"/>
    <n v="0"/>
    <n v="0"/>
    <n v="1312000"/>
    <s v="AMGEN"/>
    <n v="2624"/>
    <x v="93"/>
    <n v="500"/>
    <d v="2017-08-24T00:00:00"/>
    <d v="2017-12-31T00:00:00"/>
    <s v="GRUPO FARMACOS ESPECIALIZADOS SA DE CV"/>
    <n v="0"/>
    <n v="0"/>
    <n v="0"/>
    <n v="500"/>
    <n v="0"/>
    <n v="0"/>
    <n v="1312000"/>
    <s v="DISTRITO FEDERAL"/>
  </r>
  <r>
    <x v="93"/>
    <n v="2017"/>
    <x v="4"/>
    <x v="22"/>
    <x v="47"/>
    <x v="8"/>
    <x v="8"/>
    <n v="0"/>
    <n v="0"/>
    <n v="0"/>
    <n v="0"/>
    <n v="0"/>
    <n v="0"/>
    <n v="0"/>
    <n v="0"/>
    <n v="0"/>
    <n v="0"/>
    <n v="0"/>
    <n v="0"/>
    <n v="0"/>
    <n v="314"/>
    <n v="0"/>
    <n v="0"/>
    <n v="1356480"/>
    <s v="AMGEN"/>
    <n v="4320"/>
    <x v="91"/>
    <n v="314"/>
    <d v="2016-11-11T00:00:00"/>
    <d v="2017-10-10T00:00:00"/>
    <s v="GRUPO FARMACOS ESPECIALIZADOS SA DE CV"/>
    <n v="0"/>
    <n v="0"/>
    <n v="0"/>
    <n v="314"/>
    <n v="0"/>
    <n v="0"/>
    <n v="1356480"/>
    <s v="DISTRITO FEDERAL"/>
  </r>
  <r>
    <x v="96"/>
    <n v="2017"/>
    <x v="4"/>
    <x v="22"/>
    <x v="47"/>
    <x v="8"/>
    <x v="8"/>
    <n v="0"/>
    <n v="7"/>
    <n v="0"/>
    <n v="7"/>
    <n v="-7"/>
    <n v="0"/>
    <n v="0"/>
    <n v="0"/>
    <n v="0"/>
    <n v="0"/>
    <n v="0"/>
    <n v="0"/>
    <n v="7"/>
    <n v="314"/>
    <n v="2.2292993630573247E-2"/>
    <n v="30240"/>
    <n v="1356480"/>
    <s v="AMGEN"/>
    <n v="4320"/>
    <x v="94"/>
    <n v="307"/>
    <d v="2017-02-17T00:00:00"/>
    <d v="2017-12-05T00:00:00"/>
    <s v="GRUPO FARMACOS ESPECIALIZADOS SA DE CV"/>
    <n v="0"/>
    <n v="0"/>
    <n v="7"/>
    <n v="314"/>
    <n v="2.2292993630573247E-2"/>
    <n v="30240"/>
    <n v="1356480"/>
    <s v="DISTRITO FEDERAL"/>
  </r>
  <r>
    <x v="95"/>
    <n v="2017"/>
    <x v="4"/>
    <x v="22"/>
    <x v="47"/>
    <x v="8"/>
    <x v="8"/>
    <n v="0"/>
    <n v="0"/>
    <n v="0"/>
    <n v="0"/>
    <n v="0"/>
    <n v="0"/>
    <n v="0"/>
    <n v="0"/>
    <n v="0"/>
    <n v="0"/>
    <n v="0"/>
    <n v="0"/>
    <n v="0"/>
    <n v="940"/>
    <n v="0"/>
    <n v="0"/>
    <n v="4060800"/>
    <s v="AMGEN"/>
    <n v="4320"/>
    <x v="93"/>
    <n v="940"/>
    <d v="2017-08-24T00:00:00"/>
    <d v="2017-12-31T00:00:00"/>
    <s v="GRUPO FARMACOS ESPECIALIZADOS SA DE CV"/>
    <n v="0"/>
    <n v="0"/>
    <n v="0"/>
    <n v="940"/>
    <n v="0"/>
    <n v="0"/>
    <n v="4060800"/>
    <s v="DISTRITO FEDERAL"/>
  </r>
  <r>
    <x v="93"/>
    <n v="2017"/>
    <x v="4"/>
    <x v="22"/>
    <x v="47"/>
    <x v="6"/>
    <x v="6"/>
    <n v="23"/>
    <n v="0"/>
    <n v="0"/>
    <n v="22"/>
    <n v="-45"/>
    <n v="0"/>
    <n v="0"/>
    <n v="0"/>
    <n v="0"/>
    <n v="0"/>
    <n v="0"/>
    <n v="0"/>
    <n v="0"/>
    <n v="145"/>
    <n v="0"/>
    <n v="0"/>
    <n v="642060"/>
    <s v="AMGEN"/>
    <n v="4428"/>
    <x v="91"/>
    <n v="145"/>
    <d v="2016-11-11T00:00:00"/>
    <d v="2017-10-10T00:00:00"/>
    <s v="GRUPO FARMACOS ESPECIALIZADOS SA DE CV"/>
    <n v="0"/>
    <n v="0"/>
    <n v="0"/>
    <n v="145"/>
    <n v="0"/>
    <n v="0"/>
    <n v="642060"/>
    <s v="DISTRITO FEDERAL"/>
  </r>
  <r>
    <x v="95"/>
    <n v="2017"/>
    <x v="4"/>
    <x v="22"/>
    <x v="47"/>
    <x v="6"/>
    <x v="6"/>
    <n v="0"/>
    <n v="0"/>
    <n v="0"/>
    <n v="0"/>
    <n v="0"/>
    <n v="0"/>
    <n v="0"/>
    <n v="0"/>
    <n v="0"/>
    <n v="0"/>
    <n v="0"/>
    <n v="0"/>
    <n v="0"/>
    <n v="110"/>
    <n v="0"/>
    <n v="0"/>
    <n v="487080"/>
    <s v="AMGEN"/>
    <n v="4428"/>
    <x v="93"/>
    <n v="110"/>
    <d v="2017-08-24T00:00:00"/>
    <d v="2017-12-31T00:00:00"/>
    <s v="GRUPO FARMACOS ESPECIALIZADOS SA DE CV"/>
    <n v="0"/>
    <n v="0"/>
    <n v="0"/>
    <n v="110"/>
    <n v="0"/>
    <n v="0"/>
    <n v="487080"/>
    <s v="DISTRITO FEDERAL"/>
  </r>
  <r>
    <x v="100"/>
    <n v="2017"/>
    <x v="4"/>
    <x v="22"/>
    <x v="47"/>
    <x v="13"/>
    <x v="14"/>
    <n v="14"/>
    <n v="10"/>
    <n v="14"/>
    <n v="16"/>
    <n v="10"/>
    <n v="8"/>
    <n v="11"/>
    <n v="7"/>
    <n v="20"/>
    <n v="21"/>
    <n v="14"/>
    <n v="15"/>
    <n v="160"/>
    <n v="160"/>
    <n v="1"/>
    <n v="1231872"/>
    <n v="1231872"/>
    <s v="AMGEN"/>
    <n v="7699.2"/>
    <x v="98"/>
    <n v="0"/>
    <d v="2016-05-13T00:00:00"/>
    <d v="2018-06-30T00:00:00"/>
    <s v="GRUPO FARMACOS ESPECIALIZADOS SA DE CV"/>
    <n v="0"/>
    <n v="53"/>
    <n v="213"/>
    <n v="213"/>
    <n v="1"/>
    <n v="1639929.5999999999"/>
    <n v="1639929.5999999999"/>
    <s v="DISTRITO FEDERAL"/>
  </r>
  <r>
    <x v="93"/>
    <n v="2017"/>
    <x v="4"/>
    <x v="22"/>
    <x v="47"/>
    <x v="1"/>
    <x v="1"/>
    <n v="0"/>
    <n v="0"/>
    <n v="0"/>
    <n v="0"/>
    <n v="0"/>
    <n v="0"/>
    <n v="0"/>
    <n v="0"/>
    <n v="0"/>
    <n v="0"/>
    <n v="0"/>
    <n v="0"/>
    <n v="0"/>
    <n v="360"/>
    <n v="0"/>
    <n v="0"/>
    <n v="839340"/>
    <s v="AMGEN"/>
    <n v="2331.5"/>
    <x v="91"/>
    <n v="360"/>
    <d v="2016-11-11T00:00:00"/>
    <d v="2017-10-10T00:00:00"/>
    <s v="GRUPO FARMACOS ESPECIALIZADOS SA DE CV"/>
    <n v="0"/>
    <n v="0"/>
    <n v="0"/>
    <n v="360"/>
    <n v="0"/>
    <n v="0"/>
    <n v="839340"/>
    <s v="DISTRITO FEDERAL"/>
  </r>
  <r>
    <x v="95"/>
    <n v="2017"/>
    <x v="4"/>
    <x v="22"/>
    <x v="47"/>
    <x v="1"/>
    <x v="1"/>
    <n v="0"/>
    <n v="0"/>
    <n v="0"/>
    <n v="0"/>
    <n v="0"/>
    <n v="0"/>
    <n v="0"/>
    <n v="0"/>
    <n v="0"/>
    <n v="0"/>
    <n v="0"/>
    <n v="0"/>
    <n v="0"/>
    <n v="406"/>
    <n v="0"/>
    <n v="0"/>
    <n v="946589"/>
    <s v="AMGEN"/>
    <n v="2331.5"/>
    <x v="93"/>
    <n v="406"/>
    <d v="2017-08-24T00:00:00"/>
    <d v="2017-12-31T00:00:00"/>
    <s v="GRUPO FARMACOS ESPECIALIZADOS SA DE CV"/>
    <n v="0"/>
    <n v="0"/>
    <n v="0"/>
    <n v="406"/>
    <n v="0"/>
    <n v="0"/>
    <n v="946589"/>
    <s v="DISTRITO FEDERAL"/>
  </r>
  <r>
    <x v="93"/>
    <n v="2017"/>
    <x v="4"/>
    <x v="22"/>
    <x v="47"/>
    <x v="4"/>
    <x v="4"/>
    <n v="0"/>
    <n v="0"/>
    <n v="0"/>
    <n v="0"/>
    <n v="0"/>
    <n v="0"/>
    <n v="0"/>
    <n v="0"/>
    <n v="0"/>
    <n v="0"/>
    <n v="0"/>
    <n v="0"/>
    <n v="0"/>
    <n v="165"/>
    <n v="0"/>
    <n v="0"/>
    <n v="1148202"/>
    <s v="AMGEN"/>
    <n v="6958.8"/>
    <x v="91"/>
    <n v="165"/>
    <d v="2016-11-11T00:00:00"/>
    <d v="2017-10-10T00:00:00"/>
    <s v="GRUPO FARMACOS ESPECIALIZADOS SA DE CV"/>
    <n v="0"/>
    <n v="0"/>
    <n v="0"/>
    <n v="165"/>
    <n v="0"/>
    <n v="0"/>
    <n v="1148202"/>
    <s v="DISTRITO FEDERAL"/>
  </r>
  <r>
    <x v="94"/>
    <n v="2017"/>
    <x v="4"/>
    <x v="22"/>
    <x v="47"/>
    <x v="4"/>
    <x v="4"/>
    <n v="0"/>
    <n v="0"/>
    <n v="0"/>
    <n v="0"/>
    <n v="0"/>
    <n v="0"/>
    <n v="0"/>
    <n v="0"/>
    <n v="0"/>
    <n v="0"/>
    <n v="0"/>
    <n v="0"/>
    <n v="0"/>
    <n v="200"/>
    <n v="0"/>
    <n v="0"/>
    <n v="1335600"/>
    <s v="AMGEN"/>
    <n v="6678"/>
    <x v="92"/>
    <n v="200"/>
    <d v="2017-09-08T00:00:00"/>
    <d v="2017-12-31T00:00:00"/>
    <s v="GRUPO FARMACOS ESPECIALIZADOS SA DE CV"/>
    <n v="0"/>
    <n v="0"/>
    <n v="0"/>
    <n v="200"/>
    <n v="0"/>
    <n v="0"/>
    <n v="1335600"/>
    <s v="DISTRITO FEDERAL"/>
  </r>
  <r>
    <x v="100"/>
    <n v="2017"/>
    <x v="4"/>
    <x v="22"/>
    <x v="47"/>
    <x v="7"/>
    <x v="7"/>
    <n v="9"/>
    <n v="14"/>
    <n v="3"/>
    <n v="4"/>
    <n v="14"/>
    <n v="17"/>
    <n v="17"/>
    <n v="14"/>
    <n v="38"/>
    <n v="22"/>
    <n v="6"/>
    <n v="8"/>
    <n v="166"/>
    <n v="166"/>
    <n v="1"/>
    <n v="3043538.62"/>
    <n v="3043538.62"/>
    <s v="AMGEN"/>
    <n v="18334.57"/>
    <x v="98"/>
    <n v="0"/>
    <d v="2016-05-13T00:00:00"/>
    <d v="2018-06-30T00:00:00"/>
    <s v="GRUPO FARMACOS ESPECIALIZADOS SA DE CV"/>
    <n v="0"/>
    <n v="48"/>
    <n v="214"/>
    <n v="214"/>
    <n v="1"/>
    <n v="3923597.98"/>
    <n v="3923597.98"/>
    <s v="DISTRITO FEDERAL"/>
  </r>
  <r>
    <x v="101"/>
    <n v="2017"/>
    <x v="4"/>
    <x v="22"/>
    <x v="47"/>
    <x v="9"/>
    <x v="9"/>
    <n v="0"/>
    <n v="0"/>
    <n v="0"/>
    <n v="0"/>
    <n v="0"/>
    <n v="0"/>
    <n v="8"/>
    <n v="0"/>
    <n v="0"/>
    <n v="0"/>
    <n v="0"/>
    <n v="0"/>
    <n v="8"/>
    <n v="8"/>
    <n v="1"/>
    <n v="37872"/>
    <n v="37872"/>
    <s v="AMGEN"/>
    <n v="4734"/>
    <x v="99"/>
    <n v="0"/>
    <d v="2017-06-15T00:00:00"/>
    <d v="2017-07-30T00:00:00"/>
    <s v="GRUPO FARMACOS ESPECIALIZADOS SA DE CV"/>
    <n v="0"/>
    <n v="0"/>
    <n v="8"/>
    <n v="8"/>
    <n v="1"/>
    <n v="37872"/>
    <n v="37872"/>
    <s v="DISTRITO FEDERAL"/>
  </r>
  <r>
    <x v="102"/>
    <n v="2017"/>
    <x v="4"/>
    <x v="22"/>
    <x v="47"/>
    <x v="9"/>
    <x v="12"/>
    <n v="0"/>
    <n v="0"/>
    <n v="0"/>
    <n v="0"/>
    <n v="0"/>
    <n v="0"/>
    <n v="0"/>
    <n v="0"/>
    <n v="0"/>
    <n v="0"/>
    <n v="8"/>
    <n v="0"/>
    <n v="8"/>
    <n v="8"/>
    <n v="1"/>
    <n v="37872"/>
    <n v="37872"/>
    <s v="AMGEN"/>
    <n v="4734"/>
    <x v="100"/>
    <n v="0"/>
    <d v="2017-10-06T00:00:00"/>
    <d v="2017-12-09T00:00:00"/>
    <s v="GRUPO FARMACOS ESPECIALIZADOS SA DE CV"/>
    <n v="0"/>
    <n v="0"/>
    <n v="8"/>
    <n v="8"/>
    <n v="1"/>
    <n v="37872"/>
    <n v="37872"/>
    <s v="DISTRITO FEDERAL"/>
  </r>
  <r>
    <x v="98"/>
    <n v="2017"/>
    <x v="4"/>
    <x v="22"/>
    <x v="47"/>
    <x v="9"/>
    <x v="12"/>
    <n v="0"/>
    <n v="0"/>
    <n v="0"/>
    <n v="0"/>
    <n v="0"/>
    <n v="0"/>
    <n v="0"/>
    <n v="0"/>
    <n v="0"/>
    <n v="0"/>
    <n v="8"/>
    <n v="0"/>
    <n v="8"/>
    <n v="8"/>
    <n v="1"/>
    <n v="37872"/>
    <n v="37872"/>
    <s v="AMGEN"/>
    <n v="4734"/>
    <x v="96"/>
    <n v="0"/>
    <d v="2017-10-06T00:00:00"/>
    <d v="2017-11-30T00:00:00"/>
    <s v="GRUPO FARMACOS ESPECIALIZADOS SA DE CV"/>
    <n v="0"/>
    <n v="0"/>
    <n v="8"/>
    <n v="8"/>
    <n v="1"/>
    <n v="37872"/>
    <n v="37872"/>
    <s v="DISTRITO FEDERAL"/>
  </r>
  <r>
    <x v="103"/>
    <n v="2017"/>
    <x v="4"/>
    <x v="22"/>
    <x v="47"/>
    <x v="14"/>
    <x v="16"/>
    <n v="0"/>
    <n v="0"/>
    <n v="0"/>
    <n v="14"/>
    <n v="14"/>
    <n v="0"/>
    <n v="0"/>
    <n v="0"/>
    <n v="0"/>
    <n v="0"/>
    <n v="0"/>
    <n v="0"/>
    <n v="28"/>
    <n v="28"/>
    <n v="1"/>
    <n v="851256.27999999991"/>
    <n v="851256.27999999991"/>
    <s v="AMGEN"/>
    <n v="30402.01"/>
    <x v="101"/>
    <n v="0"/>
    <d v="2017-04-05T00:00:00"/>
    <d v="2017-05-31T00:00:00"/>
    <s v="GRUPO FARMACOS ESPECIALIZADOS SA DE CV"/>
    <n v="0"/>
    <n v="0"/>
    <n v="28"/>
    <n v="28"/>
    <n v="1"/>
    <n v="851256.27999999991"/>
    <n v="851256.27999999991"/>
    <s v="DISTRITO FEDERAL"/>
  </r>
  <r>
    <x v="93"/>
    <n v="2017"/>
    <x v="4"/>
    <x v="22"/>
    <x v="48"/>
    <x v="3"/>
    <x v="3"/>
    <n v="200"/>
    <n v="0"/>
    <n v="0"/>
    <n v="200"/>
    <n v="0"/>
    <n v="0"/>
    <n v="0"/>
    <n v="0"/>
    <n v="0"/>
    <n v="0"/>
    <n v="0"/>
    <n v="0"/>
    <n v="400"/>
    <n v="0"/>
    <n v="0"/>
    <n v="1462240"/>
    <n v="0"/>
    <s v="AMGEN"/>
    <n v="3655.6"/>
    <x v="91"/>
    <n v="-400"/>
    <d v="2016-11-11T00:00:00"/>
    <d v="2017-10-10T00:00:00"/>
    <s v="GRUPO FARMACOS ESPECIALIZADOS SA DE CV"/>
    <n v="0"/>
    <n v="0"/>
    <n v="400"/>
    <n v="0"/>
    <n v="0"/>
    <n v="1462240"/>
    <n v="0"/>
    <s v="DISTRITO FEDERAL"/>
  </r>
  <r>
    <x v="94"/>
    <n v="2017"/>
    <x v="4"/>
    <x v="22"/>
    <x v="48"/>
    <x v="3"/>
    <x v="3"/>
    <n v="0"/>
    <n v="0"/>
    <n v="0"/>
    <n v="0"/>
    <n v="0"/>
    <n v="0"/>
    <n v="0"/>
    <n v="0"/>
    <n v="1000"/>
    <n v="0"/>
    <n v="0"/>
    <n v="0"/>
    <n v="1000"/>
    <n v="0"/>
    <n v="0"/>
    <n v="3655600"/>
    <n v="0"/>
    <s v="AMGEN"/>
    <n v="3655.6"/>
    <x v="92"/>
    <n v="-1000"/>
    <d v="2017-09-08T00:00:00"/>
    <d v="2017-12-31T00:00:00"/>
    <s v="GRUPO FARMACOS ESPECIALIZADOS SA DE CV"/>
    <n v="0"/>
    <n v="0"/>
    <n v="1000"/>
    <n v="0"/>
    <n v="0"/>
    <n v="3655600"/>
    <n v="0"/>
    <s v="DISTRITO FEDERAL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3" cacheId="2" applyNumberFormats="0" applyBorderFormats="0" applyFontFormats="0" applyPatternFormats="0" applyAlignmentFormats="0" applyWidthHeightFormats="1" dataCaption="Datos" missingCaption="0" updatedVersion="5" minRefreshableVersion="3" showDrill="0" showMemberPropertyTips="0" useAutoFormatting="1" itemPrintTitles="1" createdVersion="3" indent="0" compact="0" compactData="0" gridDropZones="1">
  <location ref="A3:W404" firstHeaderRow="1" firstDataRow="2" firstDataCol="6" rowPageCount="1" colPageCount="1"/>
  <pivotFields count="40">
    <pivotField axis="axisRow" compact="0" outline="0" subtotalTop="0" showAll="0" includeNewItemsInFilter="1" defaultSubtotal="0">
      <items count="104">
        <item x="58"/>
        <item x="71"/>
        <item x="7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9"/>
        <item x="60"/>
        <item x="61"/>
        <item x="62"/>
        <item x="63"/>
        <item x="64"/>
        <item x="65"/>
        <item x="66"/>
        <item x="67"/>
        <item x="68"/>
        <item x="69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</items>
    </pivotField>
    <pivotField compact="0" outline="0" subtotalTop="0" showAll="0" includeNewItemsInFilter="1"/>
    <pivotField axis="axisPage" compact="0" outline="0" subtotalTop="0" showAll="0" includeNewItemsInFilter="1">
      <items count="6">
        <item x="2"/>
        <item x="3"/>
        <item x="0"/>
        <item x="1"/>
        <item x="4"/>
        <item t="default"/>
      </items>
    </pivotField>
    <pivotField axis="axisRow" compact="0" outline="0" showAll="0" sortType="ascending">
      <items count="24">
        <item x="6"/>
        <item x="7"/>
        <item x="8"/>
        <item x="1"/>
        <item x="2"/>
        <item x="9"/>
        <item x="3"/>
        <item x="4"/>
        <item x="10"/>
        <item x="11"/>
        <item x="0"/>
        <item x="5"/>
        <item x="12"/>
        <item x="13"/>
        <item x="14"/>
        <item x="21"/>
        <item x="15"/>
        <item x="16"/>
        <item x="22"/>
        <item x="17"/>
        <item x="18"/>
        <item x="19"/>
        <item x="20"/>
        <item t="default"/>
      </items>
    </pivotField>
    <pivotField axis="axisRow" compact="0" outline="0" subtotalTop="0" showAll="0" includeNewItemsInFilter="1" defaultSubtotal="0">
      <items count="49">
        <item x="41"/>
        <item x="0"/>
        <item x="14"/>
        <item x="1"/>
        <item x="30"/>
        <item x="2"/>
        <item x="3"/>
        <item x="5"/>
        <item x="6"/>
        <item x="7"/>
        <item x="8"/>
        <item x="9"/>
        <item x="11"/>
        <item x="12"/>
        <item x="13"/>
        <item x="24"/>
        <item x="31"/>
        <item x="34"/>
        <item x="4"/>
        <item x="10"/>
        <item x="15"/>
        <item x="16"/>
        <item x="17"/>
        <item x="18"/>
        <item x="19"/>
        <item x="20"/>
        <item x="21"/>
        <item x="22"/>
        <item x="23"/>
        <item x="25"/>
        <item x="26"/>
        <item x="27"/>
        <item x="28"/>
        <item x="29"/>
        <item x="32"/>
        <item x="33"/>
        <item x="35"/>
        <item x="36"/>
        <item x="37"/>
        <item x="38"/>
        <item x="39"/>
        <item x="40"/>
        <item x="42"/>
        <item x="43"/>
        <item x="44"/>
        <item x="45"/>
        <item x="46"/>
        <item x="47"/>
        <item x="48"/>
      </items>
    </pivotField>
    <pivotField axis="axisRow" compact="0" outline="0" subtotalTop="0" showAll="0" includeNewItemsInFilter="1" defaultSubtotal="0">
      <items count="15">
        <item x="11"/>
        <item x="0"/>
        <item x="1"/>
        <item x="2"/>
        <item x="3"/>
        <item x="4"/>
        <item x="5"/>
        <item x="6"/>
        <item x="7"/>
        <item x="8"/>
        <item x="9"/>
        <item x="10"/>
        <item x="12"/>
        <item x="13"/>
        <item x="14"/>
      </items>
    </pivotField>
    <pivotField axis="axisRow" compact="0" outline="0" subtotalTop="0" showAll="0" includeNewItemsInFilter="1">
      <items count="1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dataField="1" compact="0" outline="0" subtotalTop="0" showAll="0" includeNewItemsInFilter="1"/>
    <pivotField dataField="1" compact="0" numFmtId="164" outline="0" showAll="0" defaultSubtotal="0"/>
    <pivotField dataField="1" compact="0" numFmtId="164" outline="0" showAll="0" defaultSubtotal="0"/>
    <pivotField dataField="1" compact="0" numFmtId="164" outline="0" showAll="0" defaultSubtotal="0"/>
    <pivotField dataField="1" compact="0" numFmtId="164" outline="0" showAll="0" defaultSubtotal="0"/>
    <pivotField dataField="1" compact="0" numFmtId="164" outline="0" showAll="0" defaultSubtotal="0"/>
    <pivotField dataField="1" compact="0" numFmtId="164" outline="0" showAll="0" defaultSubtotal="0"/>
    <pivotField dataField="1" compact="0" numFmtId="164" outline="0" showAll="0" defaultSubtotal="0"/>
    <pivotField dataField="1" compact="0" numFmtId="164" outline="0" showAll="0" defaultSubtotal="0"/>
    <pivotField dataField="1" compact="0" numFmtId="164" outline="0" showAll="0" defaultSubtotal="0"/>
    <pivotField dataField="1" compact="0" numFmtId="164" outline="0" showAll="0" defaultSubtotal="0"/>
    <pivotField dataField="1" compact="0" numFmtId="164" outline="0" showAll="0" defaultSubtotal="0"/>
    <pivotField compact="0" numFmtId="164" outline="0" subtotalTop="0" showAll="0" includeNewItemsInFilter="1"/>
    <pivotField compact="0" numFmtId="3" outline="0" subtotalTop="0" showAll="0" includeNewItemsInFilter="1"/>
    <pivotField compact="0" numFmtId="9" outline="0" subtotalTop="0" showAll="0" includeNewItemsInFilter="1"/>
    <pivotField compact="0" numFmtId="44" outline="0" showAll="0" defaultSubtotal="0"/>
    <pivotField compact="0" numFmtId="44" outline="0" subtotalTop="0" showAll="0" includeNewItemsInFilter="1"/>
    <pivotField compact="0" outline="0" subtotalTop="0" showAll="0" includeNewItemsInFilter="1"/>
    <pivotField compact="0" numFmtId="44" outline="0" subtotalTop="0" showAll="0" includeNewItemsInFilter="1"/>
    <pivotField axis="axisRow" compact="0" outline="0" subtotalTop="0" showAll="0" includeNewItemsInFilter="1" defaultSubtotal="0">
      <items count="102">
        <item x="56"/>
        <item x="69"/>
        <item x="68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7"/>
        <item x="58"/>
        <item x="59"/>
        <item x="60"/>
        <item x="61"/>
        <item x="62"/>
        <item x="63"/>
        <item x="64"/>
        <item x="65"/>
        <item x="66"/>
        <item x="67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</items>
    </pivotField>
    <pivotField compact="0" numFmtId="164" outline="0" subtotalTop="0" showAll="0" includeNewItemsInFilter="1"/>
    <pivotField compact="0" numFmtId="15" outline="0" showAll="0" defaultSubtotal="0"/>
    <pivotField compact="0" numFmtId="15" outline="0" showAll="0" defaultSubtotal="0"/>
    <pivotField compact="0" outline="0" subtotalTop="0" showAll="0" includeNewItemsInFilter="1"/>
    <pivotField dataField="1" compact="0" numFmtId="164" outline="0" showAll="0" defaultSubtotal="0"/>
    <pivotField dataField="1" compact="0" numFmtId="164" outline="0" showAll="0" defaultSubtotal="0"/>
    <pivotField dataField="1" compact="0" numFmtId="164" outline="0" showAll="0" defaultSubtotal="0"/>
    <pivotField dataField="1" compact="0" numFmtId="164" outline="0" showAll="0" defaultSubtotal="0"/>
    <pivotField compact="0" numFmtId="9" outline="0" showAll="0" defaultSubtotal="0"/>
    <pivotField compact="0" numFmtId="44" outline="0" showAll="0" defaultSubtotal="0"/>
    <pivotField compact="0" numFmtId="44" outline="0" showAll="0" defaultSubtotal="0"/>
    <pivotField compact="0" outline="0" showAll="0" defaultSubtotal="0"/>
    <pivotField dataField="1" compact="0" outline="0" subtotalTop="0" dragToRow="0" dragToCol="0" dragToPage="0" showAll="0" includeNewItemsInFilter="1" defaultSubtotal="0"/>
  </pivotFields>
  <rowFields count="6">
    <field x="3"/>
    <field x="26"/>
    <field x="0"/>
    <field x="6"/>
    <field x="5"/>
    <field x="4"/>
  </rowFields>
  <rowItems count="400">
    <i>
      <x/>
      <x v="20"/>
      <x v="20"/>
      <x v="3"/>
      <x v="4"/>
      <x v="25"/>
    </i>
    <i t="default" r="3">
      <x v="3"/>
    </i>
    <i t="default">
      <x/>
    </i>
    <i>
      <x v="1"/>
      <x v="21"/>
      <x v="21"/>
      <x/>
      <x v="1"/>
      <x v="26"/>
    </i>
    <i t="default" r="3">
      <x/>
    </i>
    <i r="3">
      <x v="3"/>
      <x v="4"/>
      <x v="26"/>
    </i>
    <i t="default" r="3">
      <x v="3"/>
    </i>
    <i r="3">
      <x v="8"/>
      <x v="9"/>
      <x v="26"/>
    </i>
    <i t="default" r="3">
      <x v="8"/>
    </i>
    <i r="3">
      <x v="9"/>
      <x v="10"/>
      <x v="26"/>
    </i>
    <i t="default" r="3">
      <x v="9"/>
    </i>
    <i t="default">
      <x v="1"/>
    </i>
    <i>
      <x v="2"/>
      <x v="22"/>
      <x v="22"/>
      <x v="10"/>
      <x v="11"/>
      <x v="27"/>
    </i>
    <i t="default" r="3">
      <x v="10"/>
    </i>
    <i r="1">
      <x v="23"/>
      <x v="23"/>
      <x v="10"/>
      <x v="11"/>
      <x v="27"/>
    </i>
    <i t="default" r="3">
      <x v="10"/>
    </i>
    <i r="1">
      <x v="24"/>
      <x v="24"/>
      <x v="10"/>
      <x v="11"/>
      <x v="27"/>
    </i>
    <i t="default" r="3">
      <x v="10"/>
    </i>
    <i r="1">
      <x v="25"/>
      <x v="25"/>
      <x v="10"/>
      <x v="11"/>
      <x v="27"/>
    </i>
    <i t="default" r="3">
      <x v="10"/>
    </i>
    <i t="default">
      <x v="2"/>
    </i>
    <i>
      <x v="3"/>
      <x v="5"/>
      <x v="5"/>
      <x v="2"/>
      <x v="3"/>
      <x v="20"/>
    </i>
    <i t="default" r="3">
      <x v="2"/>
    </i>
    <i t="default">
      <x v="3"/>
    </i>
    <i>
      <x v="4"/>
      <x v="6"/>
      <x v="6"/>
      <x v="3"/>
      <x v="4"/>
      <x v="21"/>
    </i>
    <i t="default" r="3">
      <x v="3"/>
    </i>
    <i r="1">
      <x v="7"/>
      <x v="7"/>
      <x v="2"/>
      <x v="3"/>
      <x v="21"/>
    </i>
    <i t="default" r="3">
      <x v="2"/>
    </i>
    <i r="1">
      <x v="8"/>
      <x v="8"/>
      <x/>
      <x v="1"/>
      <x v="21"/>
    </i>
    <i t="default" r="3">
      <x/>
    </i>
    <i r="1">
      <x v="9"/>
      <x v="9"/>
      <x v="1"/>
      <x v="2"/>
      <x v="21"/>
    </i>
    <i t="default" r="3">
      <x v="1"/>
    </i>
    <i t="default">
      <x v="4"/>
    </i>
    <i>
      <x v="5"/>
      <x v="26"/>
      <x v="26"/>
      <x v="7"/>
      <x v="8"/>
      <x v="28"/>
    </i>
    <i t="default" r="3">
      <x v="7"/>
    </i>
    <i r="1">
      <x v="27"/>
      <x v="27"/>
      <x v="7"/>
      <x v="8"/>
      <x v="28"/>
    </i>
    <i t="default" r="3">
      <x v="7"/>
    </i>
    <i r="1">
      <x v="28"/>
      <x v="28"/>
      <x v="7"/>
      <x v="8"/>
      <x v="28"/>
    </i>
    <i t="default" r="3">
      <x v="7"/>
    </i>
    <i r="1">
      <x v="29"/>
      <x v="29"/>
      <x v="7"/>
      <x v="8"/>
      <x v="28"/>
    </i>
    <i t="default" r="3">
      <x v="7"/>
    </i>
    <i r="1">
      <x v="30"/>
      <x v="30"/>
      <x v="11"/>
      <x/>
      <x v="28"/>
    </i>
    <i t="default" r="3">
      <x v="11"/>
    </i>
    <i t="default">
      <x v="5"/>
    </i>
    <i>
      <x v="6"/>
      <x v="10"/>
      <x v="10"/>
      <x v="4"/>
      <x v="5"/>
      <x v="22"/>
    </i>
    <i t="default" r="3">
      <x v="4"/>
    </i>
    <i r="1">
      <x v="11"/>
      <x v="11"/>
      <x v="4"/>
      <x v="5"/>
      <x v="22"/>
    </i>
    <i t="default" r="3">
      <x v="4"/>
    </i>
    <i t="default">
      <x v="6"/>
    </i>
    <i>
      <x v="7"/>
      <x v="12"/>
      <x v="12"/>
      <x/>
      <x v="1"/>
      <x v="23"/>
    </i>
    <i t="default" r="3">
      <x/>
    </i>
    <i r="3">
      <x v="5"/>
      <x v="6"/>
      <x v="23"/>
    </i>
    <i t="default" r="3">
      <x v="5"/>
    </i>
    <i r="1">
      <x v="13"/>
      <x v="13"/>
      <x/>
      <x v="1"/>
      <x v="23"/>
    </i>
    <i t="default" r="3">
      <x/>
    </i>
    <i r="3">
      <x v="5"/>
      <x v="6"/>
      <x v="23"/>
    </i>
    <i t="default" r="3">
      <x v="5"/>
    </i>
    <i r="1">
      <x v="14"/>
      <x v="14"/>
      <x/>
      <x v="1"/>
      <x v="23"/>
    </i>
    <i t="default" r="3">
      <x/>
    </i>
    <i r="3">
      <x v="5"/>
      <x v="6"/>
      <x v="23"/>
    </i>
    <i t="default" r="3">
      <x v="5"/>
    </i>
    <i r="1">
      <x v="15"/>
      <x v="15"/>
      <x/>
      <x v="1"/>
      <x v="23"/>
    </i>
    <i t="default" r="3">
      <x/>
    </i>
    <i r="3">
      <x v="5"/>
      <x v="6"/>
      <x v="23"/>
    </i>
    <i t="default" r="3">
      <x v="5"/>
    </i>
    <i r="1">
      <x v="16"/>
      <x v="16"/>
      <x/>
      <x v="1"/>
      <x v="23"/>
    </i>
    <i t="default" r="3">
      <x/>
    </i>
    <i r="3">
      <x v="5"/>
      <x v="6"/>
      <x v="23"/>
    </i>
    <i t="default" r="3">
      <x v="5"/>
    </i>
    <i r="1">
      <x v="17"/>
      <x v="17"/>
      <x v="1"/>
      <x v="2"/>
      <x v="23"/>
    </i>
    <i t="default" r="3">
      <x v="1"/>
    </i>
    <i r="1">
      <x v="18"/>
      <x v="18"/>
      <x v="1"/>
      <x v="2"/>
      <x v="23"/>
    </i>
    <i t="default" r="3">
      <x v="1"/>
    </i>
    <i t="default">
      <x v="7"/>
    </i>
    <i>
      <x v="8"/>
      <x v="31"/>
      <x v="31"/>
      <x v="11"/>
      <x/>
      <x v="15"/>
    </i>
    <i t="default" r="3">
      <x v="11"/>
    </i>
    <i t="default">
      <x v="8"/>
    </i>
    <i>
      <x v="9"/>
      <x v="32"/>
      <x v="32"/>
      <x v="6"/>
      <x v="7"/>
      <x v="29"/>
    </i>
    <i t="default" r="3">
      <x v="6"/>
    </i>
    <i r="1">
      <x v="33"/>
      <x v="33"/>
      <x v="6"/>
      <x v="7"/>
      <x v="29"/>
    </i>
    <i t="default" r="3">
      <x v="6"/>
    </i>
    <i r="1">
      <x v="34"/>
      <x v="34"/>
      <x v="6"/>
      <x v="7"/>
      <x v="29"/>
    </i>
    <i t="default" r="3">
      <x v="6"/>
    </i>
    <i r="1">
      <x v="35"/>
      <x v="35"/>
      <x v="6"/>
      <x v="7"/>
      <x v="29"/>
    </i>
    <i t="default" r="3">
      <x v="6"/>
    </i>
    <i r="3">
      <x v="9"/>
      <x v="10"/>
      <x v="29"/>
    </i>
    <i t="default" r="3">
      <x v="9"/>
    </i>
    <i r="1">
      <x v="36"/>
      <x v="36"/>
      <x v="6"/>
      <x v="7"/>
      <x v="29"/>
    </i>
    <i t="default" r="3">
      <x v="6"/>
    </i>
    <i r="2">
      <x v="41"/>
      <x v="9"/>
      <x v="10"/>
      <x v="29"/>
    </i>
    <i t="default" r="3">
      <x v="9"/>
    </i>
    <i r="1">
      <x v="37"/>
      <x v="37"/>
      <x v="7"/>
      <x v="8"/>
      <x v="29"/>
    </i>
    <i t="default" r="3">
      <x v="7"/>
    </i>
    <i r="1">
      <x v="38"/>
      <x v="38"/>
      <x v="7"/>
      <x v="8"/>
      <x v="29"/>
    </i>
    <i t="default" r="3">
      <x v="7"/>
    </i>
    <i r="1">
      <x v="39"/>
      <x v="39"/>
      <x v="9"/>
      <x v="10"/>
      <x v="29"/>
    </i>
    <i t="default" r="3">
      <x v="9"/>
    </i>
    <i r="1">
      <x v="40"/>
      <x v="40"/>
      <x v="9"/>
      <x v="10"/>
      <x v="29"/>
    </i>
    <i t="default" r="3">
      <x v="9"/>
    </i>
    <i r="1">
      <x v="41"/>
      <x v="42"/>
      <x v="12"/>
      <x v="10"/>
      <x v="29"/>
    </i>
    <i t="default" r="3">
      <x v="12"/>
    </i>
    <i r="2">
      <x v="57"/>
      <x v="12"/>
      <x v="10"/>
      <x v="31"/>
    </i>
    <i t="default" r="3">
      <x v="12"/>
    </i>
    <i r="1">
      <x v="42"/>
      <x v="43"/>
      <x v="6"/>
      <x v="7"/>
      <x v="30"/>
    </i>
    <i t="default" r="3">
      <x v="6"/>
    </i>
    <i r="1">
      <x v="43"/>
      <x v="44"/>
      <x v="9"/>
      <x v="10"/>
      <x v="30"/>
    </i>
    <i t="default" r="3">
      <x v="9"/>
    </i>
    <i r="1">
      <x v="44"/>
      <x v="45"/>
      <x v="9"/>
      <x v="10"/>
      <x v="30"/>
    </i>
    <i t="default" r="3">
      <x v="9"/>
    </i>
    <i r="1">
      <x v="45"/>
      <x v="46"/>
      <x v="9"/>
      <x v="10"/>
      <x v="30"/>
    </i>
    <i t="default" r="3">
      <x v="9"/>
    </i>
    <i r="1">
      <x v="46"/>
      <x v="47"/>
      <x v="12"/>
      <x v="10"/>
      <x v="30"/>
    </i>
    <i t="default" r="3">
      <x v="12"/>
    </i>
    <i r="1">
      <x v="47"/>
      <x v="48"/>
      <x v="6"/>
      <x v="7"/>
      <x v="31"/>
    </i>
    <i t="default" r="3">
      <x v="6"/>
    </i>
    <i r="1">
      <x v="48"/>
      <x v="49"/>
      <x v="6"/>
      <x v="7"/>
      <x v="31"/>
    </i>
    <i t="default" r="3">
      <x v="6"/>
    </i>
    <i r="1">
      <x v="49"/>
      <x v="50"/>
      <x v="6"/>
      <x v="7"/>
      <x v="31"/>
    </i>
    <i t="default" r="3">
      <x v="6"/>
    </i>
    <i r="1">
      <x v="50"/>
      <x v="51"/>
      <x v="7"/>
      <x v="8"/>
      <x v="31"/>
    </i>
    <i t="default" r="3">
      <x v="7"/>
    </i>
    <i r="1">
      <x v="51"/>
      <x v="52"/>
      <x v="7"/>
      <x v="8"/>
      <x v="31"/>
    </i>
    <i t="default" r="3">
      <x v="7"/>
    </i>
    <i r="1">
      <x v="52"/>
      <x v="53"/>
      <x v="7"/>
      <x v="8"/>
      <x v="31"/>
    </i>
    <i t="default" r="3">
      <x v="7"/>
    </i>
    <i r="1">
      <x v="53"/>
      <x v="54"/>
      <x v="9"/>
      <x v="10"/>
      <x v="31"/>
    </i>
    <i t="default" r="3">
      <x v="9"/>
    </i>
    <i r="1">
      <x v="54"/>
      <x v="55"/>
      <x v="12"/>
      <x v="10"/>
      <x v="31"/>
    </i>
    <i t="default" r="3">
      <x v="12"/>
    </i>
    <i r="1">
      <x v="55"/>
      <x v="56"/>
      <x v="12"/>
      <x v="10"/>
      <x v="31"/>
    </i>
    <i t="default" r="3">
      <x v="12"/>
    </i>
    <i t="default">
      <x v="9"/>
    </i>
    <i>
      <x v="10"/>
      <x v="3"/>
      <x v="3"/>
      <x/>
      <x v="1"/>
      <x v="1"/>
    </i>
    <i r="5">
      <x v="2"/>
    </i>
    <i r="5">
      <x v="5"/>
    </i>
    <i r="5">
      <x v="6"/>
    </i>
    <i r="5">
      <x v="7"/>
    </i>
    <i r="5">
      <x v="8"/>
    </i>
    <i r="5">
      <x v="9"/>
    </i>
    <i r="5">
      <x v="10"/>
    </i>
    <i r="5">
      <x v="11"/>
    </i>
    <i r="5">
      <x v="12"/>
    </i>
    <i r="5">
      <x v="13"/>
    </i>
    <i r="5">
      <x v="14"/>
    </i>
    <i r="5">
      <x v="18"/>
    </i>
    <i r="5">
      <x v="19"/>
    </i>
    <i t="default" r="3">
      <x/>
    </i>
    <i r="3">
      <x v="1"/>
      <x v="2"/>
      <x v="1"/>
    </i>
    <i r="5">
      <x v="2"/>
    </i>
    <i r="5">
      <x v="14"/>
    </i>
    <i t="default" r="3">
      <x v="1"/>
    </i>
    <i r="1">
      <x v="4"/>
      <x v="4"/>
      <x/>
      <x v="1"/>
      <x v="1"/>
    </i>
    <i r="5">
      <x v="2"/>
    </i>
    <i r="5">
      <x v="3"/>
    </i>
    <i r="5">
      <x v="5"/>
    </i>
    <i r="5">
      <x v="6"/>
    </i>
    <i r="5">
      <x v="7"/>
    </i>
    <i r="5">
      <x v="8"/>
    </i>
    <i r="5">
      <x v="10"/>
    </i>
    <i r="5">
      <x v="11"/>
    </i>
    <i r="5">
      <x v="12"/>
    </i>
    <i r="5">
      <x v="13"/>
    </i>
    <i r="5">
      <x v="14"/>
    </i>
    <i r="5">
      <x v="19"/>
    </i>
    <i t="default" r="3">
      <x/>
    </i>
    <i r="3">
      <x v="1"/>
      <x v="2"/>
      <x v="1"/>
    </i>
    <i r="5">
      <x v="2"/>
    </i>
    <i r="5">
      <x v="14"/>
    </i>
    <i t="default" r="3">
      <x v="1"/>
    </i>
    <i t="default">
      <x v="10"/>
    </i>
    <i>
      <x v="11"/>
      <x v="19"/>
      <x v="19"/>
      <x v="1"/>
      <x v="2"/>
      <x v="24"/>
    </i>
    <i t="default" r="3">
      <x v="1"/>
    </i>
    <i r="3">
      <x v="6"/>
      <x v="7"/>
      <x v="24"/>
    </i>
    <i t="default" r="3">
      <x v="6"/>
    </i>
    <i r="3">
      <x v="7"/>
      <x v="8"/>
      <x v="24"/>
    </i>
    <i t="default" r="3">
      <x v="7"/>
    </i>
    <i t="default">
      <x v="11"/>
    </i>
    <i>
      <x v="12"/>
      <x v="56"/>
      <x v="58"/>
      <x v="2"/>
      <x v="3"/>
      <x v="32"/>
    </i>
    <i t="default" r="3">
      <x v="2"/>
    </i>
    <i r="1">
      <x v="57"/>
      <x v="59"/>
      <x v="13"/>
      <x v="12"/>
      <x v="32"/>
    </i>
    <i t="default" r="3">
      <x v="13"/>
    </i>
    <i t="default">
      <x v="12"/>
    </i>
    <i>
      <x v="13"/>
      <x v="58"/>
      <x v="60"/>
      <x v="3"/>
      <x v="4"/>
      <x v="33"/>
    </i>
    <i t="default" r="3">
      <x v="3"/>
    </i>
    <i t="default">
      <x v="13"/>
    </i>
    <i>
      <x v="14"/>
      <x/>
      <x/>
      <x/>
      <x v="1"/>
      <x v="4"/>
    </i>
    <i r="5">
      <x v="16"/>
    </i>
    <i t="default" r="3">
      <x/>
    </i>
    <i r="3">
      <x v="2"/>
      <x v="3"/>
      <x v="4"/>
    </i>
    <i r="5">
      <x v="16"/>
    </i>
    <i r="5">
      <x v="34"/>
    </i>
    <i t="default" r="3">
      <x v="2"/>
    </i>
    <i r="3">
      <x v="3"/>
      <x v="4"/>
      <x v="4"/>
    </i>
    <i r="5">
      <x v="16"/>
    </i>
    <i r="5">
      <x v="34"/>
    </i>
    <i t="default" r="3">
      <x v="3"/>
    </i>
    <i r="3">
      <x v="6"/>
      <x v="7"/>
      <x v="4"/>
    </i>
    <i r="5">
      <x v="16"/>
    </i>
    <i t="default" r="3">
      <x v="6"/>
    </i>
    <i r="3">
      <x v="10"/>
      <x v="11"/>
      <x v="4"/>
    </i>
    <i r="5">
      <x v="34"/>
    </i>
    <i t="default" r="3">
      <x v="10"/>
    </i>
    <i r="1">
      <x v="59"/>
      <x v="61"/>
      <x v="3"/>
      <x v="4"/>
      <x v="4"/>
    </i>
    <i t="default" r="3">
      <x v="3"/>
    </i>
    <i r="1">
      <x v="60"/>
      <x v="62"/>
      <x v="3"/>
      <x v="4"/>
      <x v="4"/>
    </i>
    <i t="default" r="3">
      <x v="3"/>
    </i>
    <i r="1">
      <x v="61"/>
      <x v="63"/>
      <x v="2"/>
      <x v="3"/>
      <x v="4"/>
    </i>
    <i t="default" r="3">
      <x v="2"/>
    </i>
    <i r="3">
      <x v="3"/>
      <x v="4"/>
      <x v="4"/>
    </i>
    <i r="5">
      <x v="16"/>
    </i>
    <i t="default" r="3">
      <x v="3"/>
    </i>
    <i r="3">
      <x v="14"/>
      <x v="13"/>
      <x v="4"/>
    </i>
    <i r="5">
      <x v="16"/>
    </i>
    <i t="default" r="3">
      <x v="14"/>
    </i>
    <i r="1">
      <x v="62"/>
      <x v="64"/>
      <x v="3"/>
      <x v="4"/>
      <x v="16"/>
    </i>
    <i t="default" r="3">
      <x v="3"/>
    </i>
    <i r="1">
      <x v="63"/>
      <x v="65"/>
      <x v="14"/>
      <x v="13"/>
      <x v="16"/>
    </i>
    <i r="5">
      <x v="34"/>
    </i>
    <i t="default" r="3">
      <x v="14"/>
    </i>
    <i r="1">
      <x v="64"/>
      <x v="66"/>
      <x v="3"/>
      <x v="4"/>
      <x v="34"/>
    </i>
    <i t="default" r="3">
      <x v="3"/>
    </i>
    <i t="default">
      <x v="14"/>
    </i>
    <i>
      <x v="15"/>
      <x v="79"/>
      <x v="81"/>
      <x v="2"/>
      <x v="3"/>
      <x v="41"/>
    </i>
    <i t="default" r="3">
      <x v="2"/>
    </i>
    <i r="1">
      <x v="80"/>
      <x v="82"/>
      <x v="2"/>
      <x v="3"/>
      <x v="41"/>
    </i>
    <i t="default" r="3">
      <x v="2"/>
    </i>
    <i r="1">
      <x v="81"/>
      <x v="83"/>
      <x v="7"/>
      <x v="8"/>
      <x v="41"/>
    </i>
    <i t="default" r="3">
      <x v="7"/>
    </i>
    <i r="1">
      <x v="82"/>
      <x v="84"/>
      <x v="7"/>
      <x v="8"/>
      <x v="41"/>
    </i>
    <i t="default" r="3">
      <x v="7"/>
    </i>
    <i r="2">
      <x v="88"/>
      <x v="7"/>
      <x v="8"/>
      <x v="41"/>
    </i>
    <i t="default" r="3">
      <x v="7"/>
    </i>
    <i r="1">
      <x v="83"/>
      <x v="85"/>
      <x v="7"/>
      <x v="8"/>
      <x v="41"/>
    </i>
    <i t="default" r="3">
      <x v="7"/>
    </i>
    <i r="1">
      <x v="84"/>
      <x v="86"/>
      <x v="7"/>
      <x v="8"/>
      <x v="41"/>
    </i>
    <i t="default" r="3">
      <x v="7"/>
    </i>
    <i r="1">
      <x v="85"/>
      <x v="87"/>
      <x v="7"/>
      <x v="8"/>
      <x v="41"/>
    </i>
    <i t="default" r="3">
      <x v="7"/>
    </i>
    <i r="1">
      <x v="86"/>
      <x v="89"/>
      <x v="10"/>
      <x v="11"/>
      <x/>
    </i>
    <i t="default" r="3">
      <x v="10"/>
    </i>
    <i r="1">
      <x v="87"/>
      <x v="90"/>
      <x v="14"/>
      <x v="13"/>
      <x v="42"/>
    </i>
    <i t="default" r="3">
      <x v="14"/>
    </i>
    <i r="1">
      <x v="88"/>
      <x v="91"/>
      <x v="2"/>
      <x v="3"/>
      <x v="43"/>
    </i>
    <i t="default" r="3">
      <x v="2"/>
    </i>
    <i r="1">
      <x v="89"/>
      <x v="92"/>
      <x v="2"/>
      <x v="3"/>
      <x v="43"/>
    </i>
    <i t="default" r="3">
      <x v="2"/>
    </i>
    <i r="1">
      <x v="90"/>
      <x v="91"/>
      <x v="14"/>
      <x v="13"/>
      <x v="43"/>
    </i>
    <i t="default" r="3">
      <x v="14"/>
    </i>
    <i t="default">
      <x v="15"/>
    </i>
    <i>
      <x v="16"/>
      <x v="65"/>
      <x v="67"/>
      <x/>
      <x v="1"/>
      <x v="35"/>
    </i>
    <i t="default" r="3">
      <x/>
    </i>
    <i r="3">
      <x v="1"/>
      <x v="2"/>
      <x v="35"/>
    </i>
    <i t="default" r="3">
      <x v="1"/>
    </i>
    <i r="3">
      <x v="2"/>
      <x v="3"/>
      <x v="35"/>
    </i>
    <i t="default" r="3">
      <x v="2"/>
    </i>
    <i r="3">
      <x v="3"/>
      <x v="4"/>
      <x v="35"/>
    </i>
    <i t="default" r="3">
      <x v="3"/>
    </i>
    <i r="3">
      <x v="4"/>
      <x v="5"/>
      <x v="35"/>
    </i>
    <i t="default" r="3">
      <x v="4"/>
    </i>
    <i r="3">
      <x v="6"/>
      <x v="7"/>
      <x v="35"/>
    </i>
    <i t="default" r="3">
      <x v="6"/>
    </i>
    <i r="3">
      <x v="8"/>
      <x v="9"/>
      <x v="35"/>
    </i>
    <i t="default" r="3">
      <x v="8"/>
    </i>
    <i r="3">
      <x v="9"/>
      <x v="10"/>
      <x v="35"/>
    </i>
    <i t="default" r="3">
      <x v="9"/>
    </i>
    <i r="3">
      <x v="10"/>
      <x v="11"/>
      <x v="35"/>
    </i>
    <i t="default" r="3">
      <x v="10"/>
    </i>
    <i r="3">
      <x v="15"/>
      <x/>
      <x v="35"/>
    </i>
    <i t="default" r="3">
      <x v="15"/>
    </i>
    <i r="1">
      <x v="66"/>
      <x v="68"/>
      <x/>
      <x v="1"/>
      <x v="35"/>
    </i>
    <i t="default" r="3">
      <x/>
    </i>
    <i r="1">
      <x v="67"/>
      <x v="69"/>
      <x v="6"/>
      <x v="7"/>
      <x v="35"/>
    </i>
    <i t="default" r="3">
      <x v="6"/>
    </i>
    <i r="1">
      <x v="68"/>
      <x v="70"/>
      <x v="9"/>
      <x v="10"/>
      <x v="35"/>
    </i>
    <i t="default" r="3">
      <x v="9"/>
    </i>
    <i r="1">
      <x v="69"/>
      <x v="71"/>
      <x v="12"/>
      <x v="10"/>
      <x v="35"/>
    </i>
    <i t="default" r="3">
      <x v="12"/>
    </i>
    <i t="default">
      <x v="16"/>
    </i>
    <i>
      <x v="17"/>
      <x v="1"/>
      <x v="1"/>
      <x v="10"/>
      <x v="11"/>
      <x v="17"/>
    </i>
    <i t="default" r="3">
      <x v="10"/>
    </i>
    <i r="3">
      <x v="14"/>
      <x v="13"/>
      <x v="17"/>
    </i>
    <i t="default" r="3">
      <x v="14"/>
    </i>
    <i r="1">
      <x v="2"/>
      <x v="2"/>
      <x v="10"/>
      <x v="11"/>
      <x v="17"/>
    </i>
    <i t="default" r="3">
      <x v="10"/>
    </i>
    <i r="1">
      <x v="70"/>
      <x v="72"/>
      <x v="10"/>
      <x v="11"/>
      <x v="17"/>
    </i>
    <i t="default" r="3">
      <x v="10"/>
    </i>
    <i t="default">
      <x v="17"/>
    </i>
    <i>
      <x v="18"/>
      <x v="91"/>
      <x v="93"/>
      <x/>
      <x v="1"/>
      <x v="44"/>
    </i>
    <i r="5">
      <x v="45"/>
    </i>
    <i r="5">
      <x v="47"/>
    </i>
    <i t="default" r="3">
      <x/>
    </i>
    <i r="3">
      <x v="1"/>
      <x v="2"/>
      <x v="45"/>
    </i>
    <i r="5">
      <x v="47"/>
    </i>
    <i t="default" r="3">
      <x v="1"/>
    </i>
    <i r="3">
      <x v="2"/>
      <x v="3"/>
      <x v="45"/>
    </i>
    <i r="5">
      <x v="47"/>
    </i>
    <i t="default" r="3">
      <x v="2"/>
    </i>
    <i r="3">
      <x v="3"/>
      <x v="4"/>
      <x v="44"/>
    </i>
    <i r="5">
      <x v="45"/>
    </i>
    <i r="5">
      <x v="46"/>
    </i>
    <i r="5">
      <x v="47"/>
    </i>
    <i r="5">
      <x v="48"/>
    </i>
    <i t="default" r="3">
      <x v="3"/>
    </i>
    <i r="3">
      <x v="4"/>
      <x v="5"/>
      <x v="45"/>
    </i>
    <i r="5">
      <x v="47"/>
    </i>
    <i t="default" r="3">
      <x v="4"/>
    </i>
    <i r="3">
      <x v="6"/>
      <x v="7"/>
      <x v="44"/>
    </i>
    <i r="5">
      <x v="45"/>
    </i>
    <i r="5">
      <x v="47"/>
    </i>
    <i t="default" r="3">
      <x v="6"/>
    </i>
    <i r="3">
      <x v="8"/>
      <x v="9"/>
      <x v="47"/>
    </i>
    <i t="default" r="3">
      <x v="8"/>
    </i>
    <i r="3">
      <x v="10"/>
      <x v="11"/>
      <x v="45"/>
    </i>
    <i r="5">
      <x v="46"/>
    </i>
    <i r="5">
      <x v="47"/>
    </i>
    <i t="default" r="3">
      <x v="10"/>
    </i>
    <i r="1">
      <x v="92"/>
      <x v="94"/>
      <x v="3"/>
      <x v="4"/>
      <x v="44"/>
    </i>
    <i r="5">
      <x v="45"/>
    </i>
    <i r="5">
      <x v="46"/>
    </i>
    <i r="5">
      <x v="47"/>
    </i>
    <i r="5">
      <x v="48"/>
    </i>
    <i t="default" r="3">
      <x v="3"/>
    </i>
    <i r="3">
      <x v="4"/>
      <x v="5"/>
      <x v="45"/>
    </i>
    <i r="5">
      <x v="47"/>
    </i>
    <i t="default" r="3">
      <x v="4"/>
    </i>
    <i r="1">
      <x v="93"/>
      <x v="95"/>
      <x/>
      <x v="1"/>
      <x v="44"/>
    </i>
    <i r="5">
      <x v="45"/>
    </i>
    <i r="5">
      <x v="47"/>
    </i>
    <i t="default" r="3">
      <x/>
    </i>
    <i r="3">
      <x v="1"/>
      <x v="2"/>
      <x v="44"/>
    </i>
    <i r="5">
      <x v="45"/>
    </i>
    <i r="5">
      <x v="47"/>
    </i>
    <i t="default" r="3">
      <x v="1"/>
    </i>
    <i r="3">
      <x v="2"/>
      <x v="3"/>
      <x v="45"/>
    </i>
    <i r="5">
      <x v="47"/>
    </i>
    <i t="default" r="3">
      <x v="2"/>
    </i>
    <i r="3">
      <x v="6"/>
      <x v="7"/>
      <x v="44"/>
    </i>
    <i r="5">
      <x v="45"/>
    </i>
    <i r="5">
      <x v="47"/>
    </i>
    <i t="default" r="3">
      <x v="6"/>
    </i>
    <i r="3">
      <x v="8"/>
      <x v="9"/>
      <x v="44"/>
    </i>
    <i r="5">
      <x v="45"/>
    </i>
    <i r="5">
      <x v="47"/>
    </i>
    <i t="default" r="3">
      <x v="8"/>
    </i>
    <i r="1">
      <x v="94"/>
      <x v="96"/>
      <x v="8"/>
      <x v="9"/>
      <x v="44"/>
    </i>
    <i r="5">
      <x v="45"/>
    </i>
    <i r="5">
      <x v="47"/>
    </i>
    <i t="default" r="3">
      <x v="8"/>
    </i>
    <i r="1">
      <x v="95"/>
      <x v="97"/>
      <x v="3"/>
      <x v="4"/>
      <x v="47"/>
    </i>
    <i t="default" r="3">
      <x v="3"/>
    </i>
    <i r="1">
      <x v="96"/>
      <x v="98"/>
      <x v="2"/>
      <x v="3"/>
      <x v="47"/>
    </i>
    <i t="default" r="3">
      <x v="2"/>
    </i>
    <i r="3">
      <x v="12"/>
      <x v="10"/>
      <x v="47"/>
    </i>
    <i t="default" r="3">
      <x v="12"/>
    </i>
    <i r="1">
      <x v="97"/>
      <x v="99"/>
      <x/>
      <x v="1"/>
      <x v="47"/>
    </i>
    <i t="default" r="3">
      <x/>
    </i>
    <i r="1">
      <x v="98"/>
      <x v="100"/>
      <x v="7"/>
      <x v="8"/>
      <x v="47"/>
    </i>
    <i t="default" r="3">
      <x v="7"/>
    </i>
    <i r="3">
      <x v="14"/>
      <x v="13"/>
      <x v="47"/>
    </i>
    <i t="default" r="3">
      <x v="14"/>
    </i>
    <i r="1">
      <x v="99"/>
      <x v="101"/>
      <x v="9"/>
      <x v="10"/>
      <x v="47"/>
    </i>
    <i t="default" r="3">
      <x v="9"/>
    </i>
    <i r="1">
      <x v="100"/>
      <x v="102"/>
      <x v="12"/>
      <x v="10"/>
      <x v="47"/>
    </i>
    <i t="default" r="3">
      <x v="12"/>
    </i>
    <i r="1">
      <x v="101"/>
      <x v="103"/>
      <x v="16"/>
      <x v="14"/>
      <x v="47"/>
    </i>
    <i t="default" r="3">
      <x v="16"/>
    </i>
    <i t="default">
      <x v="18"/>
    </i>
    <i>
      <x v="19"/>
      <x v="71"/>
      <x v="73"/>
      <x v="14"/>
      <x v="13"/>
      <x v="36"/>
    </i>
    <i t="default" r="3">
      <x v="14"/>
    </i>
    <i t="default">
      <x v="19"/>
    </i>
    <i>
      <x v="20"/>
      <x v="72"/>
      <x v="74"/>
      <x v="3"/>
      <x v="4"/>
      <x v="37"/>
    </i>
    <i t="default" r="3">
      <x v="3"/>
    </i>
    <i r="1">
      <x v="73"/>
      <x v="75"/>
      <x v="6"/>
      <x v="7"/>
      <x v="38"/>
    </i>
    <i t="default" r="3">
      <x v="6"/>
    </i>
    <i r="3">
      <x v="10"/>
      <x v="11"/>
      <x v="38"/>
    </i>
    <i t="default" r="3">
      <x v="10"/>
    </i>
    <i r="3">
      <x v="13"/>
      <x v="12"/>
      <x v="38"/>
    </i>
    <i t="default" r="3">
      <x v="13"/>
    </i>
    <i r="3">
      <x v="14"/>
      <x v="13"/>
      <x v="38"/>
    </i>
    <i t="default" r="3">
      <x v="14"/>
    </i>
    <i t="default">
      <x v="20"/>
    </i>
    <i>
      <x v="21"/>
      <x v="74"/>
      <x v="76"/>
      <x v="2"/>
      <x v="3"/>
      <x v="39"/>
    </i>
    <i t="default" r="3">
      <x v="2"/>
    </i>
    <i r="1">
      <x v="75"/>
      <x v="77"/>
      <x v="14"/>
      <x v="13"/>
      <x v="39"/>
    </i>
    <i t="default" r="3">
      <x v="14"/>
    </i>
    <i t="default">
      <x v="21"/>
    </i>
    <i>
      <x v="22"/>
      <x v="76"/>
      <x v="78"/>
      <x v="10"/>
      <x v="11"/>
      <x v="40"/>
    </i>
    <i t="default" r="3">
      <x v="10"/>
    </i>
    <i r="3">
      <x v="14"/>
      <x v="13"/>
      <x v="40"/>
    </i>
    <i t="default" r="3">
      <x v="14"/>
    </i>
    <i r="1">
      <x v="77"/>
      <x v="79"/>
      <x v="10"/>
      <x v="11"/>
      <x v="40"/>
    </i>
    <i t="default" r="3">
      <x v="10"/>
    </i>
    <i r="3">
      <x v="14"/>
      <x v="13"/>
      <x v="40"/>
    </i>
    <i t="default" r="3">
      <x v="14"/>
    </i>
    <i r="1">
      <x v="78"/>
      <x v="80"/>
      <x v="10"/>
      <x v="11"/>
      <x v="40"/>
    </i>
    <i t="default" r="3">
      <x v="10"/>
    </i>
    <i r="3">
      <x v="14"/>
      <x v="13"/>
      <x v="40"/>
    </i>
    <i t="default" r="3">
      <x v="14"/>
    </i>
    <i t="default">
      <x v="22"/>
    </i>
    <i t="grand">
      <x/>
    </i>
  </rowItems>
  <colFields count="1">
    <field x="-2"/>
  </colFields>
  <colItems count="17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</colItems>
  <pageFields count="1">
    <pageField fld="2" hier="0"/>
  </pageFields>
  <dataFields count="17">
    <dataField name=" ASIGNADO TOTAL" fld="34" baseField="0" baseItem="3"/>
    <dataField name=" 2015" fld="31" baseField="0" baseItem="0"/>
    <dataField name=" 2016" fld="32" baseField="0" baseItem="0"/>
    <dataField name=" ENERO" fld="7" baseField="0" baseItem="0"/>
    <dataField name=" FEBRERO" fld="8" baseField="0" baseItem="3"/>
    <dataField name=" MARZO" fld="9" baseField="0" baseItem="3"/>
    <dataField name=" ABRIL" fld="10" baseField="0" baseItem="3"/>
    <dataField name=" MAYO" fld="11" baseField="0" baseItem="21"/>
    <dataField name=" JUNIO" fld="12" baseField="0" baseItem="20"/>
    <dataField name=" JULIO" fld="13" baseField="0" baseItem="22"/>
    <dataField name=" AGOSTO" fld="14" baseField="0" baseItem="3"/>
    <dataField name=" SEPTIEMBRE" fld="15" baseField="0" baseItem="5"/>
    <dataField name=" OCTUBRE" fld="16" baseField="4" baseItem="0"/>
    <dataField name=" NOVIEMBRE" fld="17" baseField="4" baseItem="0"/>
    <dataField name=" DICIEMBRE" fld="18" baseField="4" baseItem="0"/>
    <dataField name=" ACUMULADO GENERAL" fld="33" baseField="0" baseItem="3"/>
    <dataField name=" % ALC" fld="39" baseField="0" baseItem="0" numFmtId="9"/>
  </dataFields>
  <formats count="49">
    <format dxfId="48">
      <pivotArea type="all" dataOnly="0" outline="0" fieldPosition="0"/>
    </format>
    <format dxfId="47">
      <pivotArea outline="0" fieldPosition="0"/>
    </format>
    <format dxfId="46">
      <pivotArea field="4" type="button" dataOnly="0" labelOnly="1" outline="0" axis="axisRow" fieldPosition="5"/>
    </format>
    <format dxfId="45">
      <pivotArea field="26" type="button" dataOnly="0" labelOnly="1" outline="0" axis="axisRow" fieldPosition="1"/>
    </format>
    <format dxfId="44">
      <pivotArea field="0" type="button" dataOnly="0" labelOnly="1" outline="0" axis="axisRow" fieldPosition="2"/>
    </format>
    <format dxfId="43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42">
      <pivotArea field="4" type="button" dataOnly="0" labelOnly="1" outline="0" axis="axisRow" fieldPosition="5"/>
    </format>
    <format dxfId="41">
      <pivotArea field="26" type="button" dataOnly="0" labelOnly="1" outline="0" axis="axisRow" fieldPosition="1"/>
    </format>
    <format dxfId="40">
      <pivotArea field="0" type="button" dataOnly="0" labelOnly="1" outline="0" axis="axisRow" fieldPosition="2"/>
    </format>
    <format dxfId="39">
      <pivotArea outline="0" fieldPosition="0">
        <references count="1">
          <reference field="4294967294" count="1" selected="0">
            <x v="16"/>
          </reference>
        </references>
      </pivotArea>
    </format>
    <format dxfId="38">
      <pivotArea field="2" type="button" dataOnly="0" labelOnly="1" outline="0" axis="axisPage" fieldPosition="0"/>
    </format>
    <format dxfId="37">
      <pivotArea field="6" type="button" dataOnly="0" labelOnly="1" outline="0" axis="axisRow" fieldPosition="3"/>
    </format>
    <format dxfId="36">
      <pivotArea field="4" type="button" dataOnly="0" labelOnly="1" outline="0" axis="axisRow" fieldPosition="5"/>
    </format>
    <format dxfId="35">
      <pivotArea field="26" type="button" dataOnly="0" labelOnly="1" outline="0" axis="axisRow" fieldPosition="1"/>
    </format>
    <format dxfId="34">
      <pivotArea field="0" type="button" dataOnly="0" labelOnly="1" outline="0" axis="axisRow" fieldPosition="2"/>
    </format>
    <format dxfId="33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32">
      <pivotArea dataOnly="0" labelOnly="1" outline="0" fieldPosition="0">
        <references count="1">
          <reference field="4294967294" count="1">
            <x v="16"/>
          </reference>
        </references>
      </pivotArea>
    </format>
    <format dxfId="31">
      <pivotArea dataOnly="0" outline="0" fieldPosition="0">
        <references count="1">
          <reference field="4" count="0" defaultSubtotal="1"/>
        </references>
      </pivotArea>
    </format>
    <format dxfId="30">
      <pivotArea grandRow="1" outline="0" fieldPosition="0"/>
    </format>
    <format dxfId="29">
      <pivotArea dataOnly="0" labelOnly="1" grandRow="1" outline="0" fieldPosition="0"/>
    </format>
    <format dxfId="28">
      <pivotArea grandRow="1" outline="0" fieldPosition="0"/>
    </format>
    <format dxfId="27">
      <pivotArea dataOnly="0" labelOnly="1" grandRow="1" outline="0" fieldPosition="0"/>
    </format>
    <format dxfId="26">
      <pivotArea field="4" type="button" dataOnly="0" labelOnly="1" outline="0" axis="axisRow" fieldPosition="5"/>
    </format>
    <format dxfId="25">
      <pivotArea field="6" type="button" dataOnly="0" labelOnly="1" outline="0" axis="axisRow" fieldPosition="3"/>
    </format>
    <format dxfId="24">
      <pivotArea field="26" type="button" dataOnly="0" labelOnly="1" outline="0" axis="axisRow" fieldPosition="1"/>
    </format>
    <format dxfId="23">
      <pivotArea field="0" type="button" dataOnly="0" labelOnly="1" outline="0" axis="axisRow" fieldPosition="2"/>
    </format>
    <format dxfId="22">
      <pivotArea dataOnly="0" labelOnly="1" outline="0" fieldPosition="0">
        <references count="1">
          <reference field="4294967294" count="2">
            <x v="3"/>
            <x v="16"/>
          </reference>
        </references>
      </pivotArea>
    </format>
    <format dxfId="21">
      <pivotArea field="5" type="button" dataOnly="0" labelOnly="1" outline="0" axis="axisRow" fieldPosition="4"/>
    </format>
    <format dxfId="20">
      <pivotArea dataOnly="0" outline="0" fieldPosition="0">
        <references count="1">
          <reference field="6" count="0" defaultSubtotal="1"/>
        </references>
      </pivotArea>
    </format>
    <format dxfId="19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7">
      <pivotArea dataOnly="0" labelOnly="1" outline="0" fieldPosition="0">
        <references count="1">
          <reference field="4294967294" count="1">
            <x v="6"/>
          </reference>
        </references>
      </pivotArea>
    </format>
    <format dxfId="16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15">
      <pivotArea dataOnly="0" labelOnly="1" outline="0" fieldPosition="0">
        <references count="1">
          <reference field="4294967294" count="1">
            <x v="8"/>
          </reference>
        </references>
      </pivotArea>
    </format>
    <format dxfId="14">
      <pivotArea dataOnly="0" labelOnly="1" outline="0" fieldPosition="0">
        <references count="1">
          <reference field="4294967294" count="1">
            <x v="9"/>
          </reference>
        </references>
      </pivotArea>
    </format>
    <format dxfId="13">
      <pivotArea dataOnly="0" labelOnly="1" outline="0" fieldPosition="0">
        <references count="1">
          <reference field="4294967294" count="1">
            <x v="10"/>
          </reference>
        </references>
      </pivotArea>
    </format>
    <format dxfId="1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1">
      <pivotArea dataOnly="0" labelOnly="1" outline="0" fieldPosition="0">
        <references count="1">
          <reference field="4294967294" count="1">
            <x v="15"/>
          </reference>
        </references>
      </pivotArea>
    </format>
    <format dxfId="10">
      <pivotArea dataOnly="0" labelOnly="1" outline="0" fieldPosition="0">
        <references count="1">
          <reference field="4294967294" count="1">
            <x v="15"/>
          </reference>
        </references>
      </pivotArea>
    </format>
    <format dxfId="9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8">
      <pivotArea dataOnly="0" labelOnly="1" outline="0" fieldPosition="0">
        <references count="1">
          <reference field="4294967294" count="1">
            <x v="11"/>
          </reference>
        </references>
      </pivotArea>
    </format>
    <format dxfId="7">
      <pivotArea field="3" type="button" dataOnly="0" labelOnly="1" outline="0" axis="axisRow" fieldPosition="0"/>
    </format>
    <format dxfId="6">
      <pivotArea dataOnly="0" outline="0" fieldPosition="0">
        <references count="1">
          <reference field="3" count="0" defaultSubtotal="1"/>
        </references>
      </pivotArea>
    </format>
    <format dxfId="5">
      <pivotArea dataOnly="0" outline="0" fieldPosition="0">
        <references count="1">
          <reference field="6" count="0" defaultSubtotal="1"/>
        </references>
      </pivotArea>
    </format>
    <format dxfId="4">
      <pivotArea dataOnly="0" labelOnly="1" outline="0" fieldPosition="0">
        <references count="1">
          <reference field="4294967294" count="1">
            <x v="12"/>
          </reference>
        </references>
      </pivotArea>
    </format>
    <format dxfId="3">
      <pivotArea dataOnly="0" labelOnly="1" outline="0" fieldPosition="0">
        <references count="1">
          <reference field="4294967294" count="1">
            <x v="13"/>
          </reference>
        </references>
      </pivotArea>
    </format>
    <format dxfId="2">
      <pivotArea dataOnly="0" labelOnly="1" outline="0" fieldPosition="0">
        <references count="1">
          <reference field="4294967294" count="1">
            <x v="14"/>
          </reference>
        </references>
      </pivotArea>
    </format>
    <format dxfId="1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126"/>
  <sheetViews>
    <sheetView tabSelected="1" workbookViewId="0">
      <pane ySplit="4" topLeftCell="A5" activePane="bottomLeft" state="frozen"/>
      <selection pane="bottomLeft" activeCell="A5" sqref="A5"/>
    </sheetView>
  </sheetViews>
  <sheetFormatPr defaultColWidth="11.42578125" defaultRowHeight="11.25" x14ac:dyDescent="0.2"/>
  <cols>
    <col min="1" max="1" width="20.7109375" style="4" customWidth="1"/>
    <col min="2" max="2" width="21.5703125" style="4" bestFit="1" customWidth="1"/>
    <col min="3" max="3" width="15" style="4" bestFit="1" customWidth="1"/>
    <col min="4" max="4" width="27.85546875" style="5" bestFit="1" customWidth="1"/>
    <col min="5" max="5" width="9" style="4" bestFit="1" customWidth="1"/>
    <col min="6" max="6" width="46.7109375" style="4" customWidth="1"/>
    <col min="7" max="7" width="8.140625" style="4" customWidth="1"/>
    <col min="8" max="9" width="4.7109375" style="4" customWidth="1"/>
    <col min="10" max="10" width="5.7109375" style="4" customWidth="1"/>
    <col min="11" max="11" width="7" style="4" customWidth="1"/>
    <col min="12" max="12" width="6" style="4" customWidth="1"/>
    <col min="13" max="15" width="5.7109375" style="4" customWidth="1"/>
    <col min="16" max="16" width="5" style="4" customWidth="1"/>
    <col min="17" max="17" width="6.5703125" style="4" customWidth="1"/>
    <col min="18" max="18" width="9.140625" style="4" customWidth="1"/>
    <col min="19" max="19" width="7.28515625" style="4" customWidth="1"/>
    <col min="20" max="20" width="9" style="4" customWidth="1"/>
    <col min="21" max="21" width="8.42578125" style="4" customWidth="1"/>
    <col min="22" max="22" width="9.85546875" style="4" customWidth="1"/>
    <col min="23" max="24" width="5.140625" style="4" customWidth="1"/>
    <col min="25" max="16384" width="11.42578125" style="4"/>
  </cols>
  <sheetData>
    <row r="1" spans="1:24" x14ac:dyDescent="0.2">
      <c r="A1" s="46" t="s">
        <v>2</v>
      </c>
      <c r="B1" s="34" t="s">
        <v>37</v>
      </c>
    </row>
    <row r="3" spans="1:24" ht="15" x14ac:dyDescent="0.25">
      <c r="A3" s="35"/>
      <c r="B3" s="36"/>
      <c r="C3" s="36"/>
      <c r="D3" s="36"/>
      <c r="E3" s="36"/>
      <c r="F3" s="36"/>
      <c r="G3" s="37" t="s">
        <v>17</v>
      </c>
      <c r="H3" s="36"/>
      <c r="I3" s="36"/>
      <c r="J3" s="36"/>
      <c r="K3" s="36"/>
      <c r="L3" s="36"/>
      <c r="M3" s="36"/>
      <c r="N3" s="36"/>
      <c r="O3" s="36"/>
      <c r="P3" s="36"/>
      <c r="Q3" s="36"/>
      <c r="R3" s="36"/>
      <c r="S3" s="36"/>
      <c r="T3" s="36"/>
      <c r="U3" s="36"/>
      <c r="V3" s="36"/>
      <c r="W3" s="38"/>
      <c r="X3"/>
    </row>
    <row r="4" spans="1:24" s="6" customFormat="1" ht="24.95" customHeight="1" x14ac:dyDescent="0.25">
      <c r="A4" s="48" t="s">
        <v>44</v>
      </c>
      <c r="B4" s="48" t="s">
        <v>13</v>
      </c>
      <c r="C4" s="48" t="s">
        <v>0</v>
      </c>
      <c r="D4" s="56" t="s">
        <v>5</v>
      </c>
      <c r="E4" s="56" t="s">
        <v>4</v>
      </c>
      <c r="F4" s="48" t="s">
        <v>3</v>
      </c>
      <c r="G4" s="62" t="s">
        <v>50</v>
      </c>
      <c r="H4" s="49" t="s">
        <v>60</v>
      </c>
      <c r="I4" s="49" t="s">
        <v>78</v>
      </c>
      <c r="J4" s="49" t="s">
        <v>18</v>
      </c>
      <c r="K4" s="49" t="s">
        <v>38</v>
      </c>
      <c r="L4" s="49" t="s">
        <v>40</v>
      </c>
      <c r="M4" s="49" t="s">
        <v>41</v>
      </c>
      <c r="N4" s="49" t="s">
        <v>42</v>
      </c>
      <c r="O4" s="49" t="s">
        <v>43</v>
      </c>
      <c r="P4" s="49" t="s">
        <v>45</v>
      </c>
      <c r="Q4" s="49" t="s">
        <v>46</v>
      </c>
      <c r="R4" s="49" t="s">
        <v>52</v>
      </c>
      <c r="S4" s="49" t="s">
        <v>54</v>
      </c>
      <c r="T4" s="49" t="s">
        <v>55</v>
      </c>
      <c r="U4" s="49" t="s">
        <v>56</v>
      </c>
      <c r="V4" s="61" t="s">
        <v>51</v>
      </c>
      <c r="W4" s="50" t="s">
        <v>19</v>
      </c>
      <c r="X4"/>
    </row>
    <row r="5" spans="1:24" ht="15" x14ac:dyDescent="0.25">
      <c r="A5" s="35" t="s">
        <v>215</v>
      </c>
      <c r="B5" s="35" t="s">
        <v>216</v>
      </c>
      <c r="C5" s="35">
        <v>54551</v>
      </c>
      <c r="D5" s="35" t="s">
        <v>194</v>
      </c>
      <c r="E5" s="35">
        <v>5613</v>
      </c>
      <c r="F5" s="35" t="s">
        <v>215</v>
      </c>
      <c r="G5" s="43">
        <v>1</v>
      </c>
      <c r="H5" s="44">
        <v>0</v>
      </c>
      <c r="I5" s="44">
        <v>0</v>
      </c>
      <c r="J5" s="44">
        <v>0</v>
      </c>
      <c r="K5" s="44">
        <v>0</v>
      </c>
      <c r="L5" s="44">
        <v>0</v>
      </c>
      <c r="M5" s="44">
        <v>0</v>
      </c>
      <c r="N5" s="44">
        <v>0</v>
      </c>
      <c r="O5" s="44">
        <v>0</v>
      </c>
      <c r="P5" s="44">
        <v>0</v>
      </c>
      <c r="Q5" s="44">
        <v>0</v>
      </c>
      <c r="R5" s="44">
        <v>0</v>
      </c>
      <c r="S5" s="44">
        <v>1</v>
      </c>
      <c r="T5" s="44">
        <v>0</v>
      </c>
      <c r="U5" s="44">
        <v>0</v>
      </c>
      <c r="V5" s="44">
        <v>1</v>
      </c>
      <c r="W5" s="39">
        <v>1</v>
      </c>
      <c r="X5"/>
    </row>
    <row r="6" spans="1:24" ht="15" x14ac:dyDescent="0.25">
      <c r="A6" s="40"/>
      <c r="B6" s="40"/>
      <c r="C6" s="40"/>
      <c r="D6" s="63" t="s">
        <v>291</v>
      </c>
      <c r="E6" s="64"/>
      <c r="F6" s="64"/>
      <c r="G6" s="65">
        <v>1</v>
      </c>
      <c r="H6" s="66">
        <v>0</v>
      </c>
      <c r="I6" s="66">
        <v>0</v>
      </c>
      <c r="J6" s="66">
        <v>0</v>
      </c>
      <c r="K6" s="66">
        <v>0</v>
      </c>
      <c r="L6" s="66">
        <v>0</v>
      </c>
      <c r="M6" s="66">
        <v>0</v>
      </c>
      <c r="N6" s="66">
        <v>0</v>
      </c>
      <c r="O6" s="66">
        <v>0</v>
      </c>
      <c r="P6" s="66">
        <v>0</v>
      </c>
      <c r="Q6" s="66">
        <v>0</v>
      </c>
      <c r="R6" s="66">
        <v>0</v>
      </c>
      <c r="S6" s="66">
        <v>1</v>
      </c>
      <c r="T6" s="66">
        <v>0</v>
      </c>
      <c r="U6" s="66">
        <v>0</v>
      </c>
      <c r="V6" s="66">
        <v>1</v>
      </c>
      <c r="W6" s="67">
        <v>1</v>
      </c>
      <c r="X6"/>
    </row>
    <row r="7" spans="1:24" ht="15" x14ac:dyDescent="0.25">
      <c r="A7" s="47" t="s">
        <v>292</v>
      </c>
      <c r="B7" s="57"/>
      <c r="C7" s="57"/>
      <c r="D7" s="57"/>
      <c r="E7" s="57"/>
      <c r="F7" s="57"/>
      <c r="G7" s="58">
        <v>1</v>
      </c>
      <c r="H7" s="59">
        <v>0</v>
      </c>
      <c r="I7" s="59">
        <v>0</v>
      </c>
      <c r="J7" s="59">
        <v>0</v>
      </c>
      <c r="K7" s="59">
        <v>0</v>
      </c>
      <c r="L7" s="59">
        <v>0</v>
      </c>
      <c r="M7" s="59">
        <v>0</v>
      </c>
      <c r="N7" s="59">
        <v>0</v>
      </c>
      <c r="O7" s="59">
        <v>0</v>
      </c>
      <c r="P7" s="59">
        <v>0</v>
      </c>
      <c r="Q7" s="59">
        <v>0</v>
      </c>
      <c r="R7" s="59">
        <v>0</v>
      </c>
      <c r="S7" s="59">
        <v>1</v>
      </c>
      <c r="T7" s="59">
        <v>0</v>
      </c>
      <c r="U7" s="59">
        <v>0</v>
      </c>
      <c r="V7" s="59">
        <v>1</v>
      </c>
      <c r="W7" s="60">
        <v>1</v>
      </c>
      <c r="X7"/>
    </row>
    <row r="8" spans="1:24" ht="15" x14ac:dyDescent="0.25">
      <c r="A8" s="35" t="s">
        <v>217</v>
      </c>
      <c r="B8" s="35" t="s">
        <v>218</v>
      </c>
      <c r="C8" s="35">
        <v>53011</v>
      </c>
      <c r="D8" s="35" t="s">
        <v>187</v>
      </c>
      <c r="E8" s="35">
        <v>5627</v>
      </c>
      <c r="F8" s="35" t="s">
        <v>217</v>
      </c>
      <c r="G8" s="43">
        <v>10</v>
      </c>
      <c r="H8" s="44">
        <v>0</v>
      </c>
      <c r="I8" s="44">
        <v>0</v>
      </c>
      <c r="J8" s="44">
        <v>0</v>
      </c>
      <c r="K8" s="44">
        <v>0</v>
      </c>
      <c r="L8" s="44">
        <v>0</v>
      </c>
      <c r="M8" s="44">
        <v>0</v>
      </c>
      <c r="N8" s="44">
        <v>0</v>
      </c>
      <c r="O8" s="44">
        <v>10</v>
      </c>
      <c r="P8" s="44">
        <v>0</v>
      </c>
      <c r="Q8" s="44">
        <v>0</v>
      </c>
      <c r="R8" s="44">
        <v>0</v>
      </c>
      <c r="S8" s="44">
        <v>0</v>
      </c>
      <c r="T8" s="44">
        <v>0</v>
      </c>
      <c r="U8" s="44">
        <v>0</v>
      </c>
      <c r="V8" s="44">
        <v>10</v>
      </c>
      <c r="W8" s="39">
        <v>1</v>
      </c>
      <c r="X8"/>
    </row>
    <row r="9" spans="1:24" ht="15" x14ac:dyDescent="0.25">
      <c r="A9" s="40"/>
      <c r="B9" s="40"/>
      <c r="C9" s="40"/>
      <c r="D9" s="63" t="s">
        <v>293</v>
      </c>
      <c r="E9" s="64"/>
      <c r="F9" s="64"/>
      <c r="G9" s="65">
        <v>10</v>
      </c>
      <c r="H9" s="66">
        <v>0</v>
      </c>
      <c r="I9" s="66">
        <v>0</v>
      </c>
      <c r="J9" s="66">
        <v>0</v>
      </c>
      <c r="K9" s="66">
        <v>0</v>
      </c>
      <c r="L9" s="66">
        <v>0</v>
      </c>
      <c r="M9" s="66">
        <v>0</v>
      </c>
      <c r="N9" s="66">
        <v>0</v>
      </c>
      <c r="O9" s="66">
        <v>10</v>
      </c>
      <c r="P9" s="66">
        <v>0</v>
      </c>
      <c r="Q9" s="66">
        <v>0</v>
      </c>
      <c r="R9" s="66">
        <v>0</v>
      </c>
      <c r="S9" s="66">
        <v>0</v>
      </c>
      <c r="T9" s="66">
        <v>0</v>
      </c>
      <c r="U9" s="66">
        <v>0</v>
      </c>
      <c r="V9" s="66">
        <v>10</v>
      </c>
      <c r="W9" s="67">
        <v>1</v>
      </c>
      <c r="X9"/>
    </row>
    <row r="10" spans="1:24" ht="15" x14ac:dyDescent="0.25">
      <c r="A10" s="40"/>
      <c r="B10" s="40"/>
      <c r="C10" s="40"/>
      <c r="D10" s="35" t="s">
        <v>194</v>
      </c>
      <c r="E10" s="35">
        <v>5613</v>
      </c>
      <c r="F10" s="35" t="s">
        <v>217</v>
      </c>
      <c r="G10" s="43">
        <v>15</v>
      </c>
      <c r="H10" s="44">
        <v>0</v>
      </c>
      <c r="I10" s="44">
        <v>0</v>
      </c>
      <c r="J10" s="44">
        <v>0</v>
      </c>
      <c r="K10" s="44">
        <v>0</v>
      </c>
      <c r="L10" s="44">
        <v>0</v>
      </c>
      <c r="M10" s="44">
        <v>0</v>
      </c>
      <c r="N10" s="44">
        <v>0</v>
      </c>
      <c r="O10" s="44">
        <v>5</v>
      </c>
      <c r="P10" s="44">
        <v>10</v>
      </c>
      <c r="Q10" s="44">
        <v>0</v>
      </c>
      <c r="R10" s="44">
        <v>0</v>
      </c>
      <c r="S10" s="44">
        <v>0</v>
      </c>
      <c r="T10" s="44">
        <v>0</v>
      </c>
      <c r="U10" s="44">
        <v>0</v>
      </c>
      <c r="V10" s="44">
        <v>15</v>
      </c>
      <c r="W10" s="39">
        <v>1</v>
      </c>
      <c r="X10"/>
    </row>
    <row r="11" spans="1:24" ht="15" x14ac:dyDescent="0.25">
      <c r="A11" s="40"/>
      <c r="B11" s="40"/>
      <c r="C11" s="40"/>
      <c r="D11" s="63" t="s">
        <v>291</v>
      </c>
      <c r="E11" s="64"/>
      <c r="F11" s="64"/>
      <c r="G11" s="65">
        <v>15</v>
      </c>
      <c r="H11" s="66">
        <v>0</v>
      </c>
      <c r="I11" s="66">
        <v>0</v>
      </c>
      <c r="J11" s="66">
        <v>0</v>
      </c>
      <c r="K11" s="66">
        <v>0</v>
      </c>
      <c r="L11" s="66">
        <v>0</v>
      </c>
      <c r="M11" s="66">
        <v>0</v>
      </c>
      <c r="N11" s="66">
        <v>0</v>
      </c>
      <c r="O11" s="66">
        <v>5</v>
      </c>
      <c r="P11" s="66">
        <v>10</v>
      </c>
      <c r="Q11" s="66">
        <v>0</v>
      </c>
      <c r="R11" s="66">
        <v>0</v>
      </c>
      <c r="S11" s="66">
        <v>0</v>
      </c>
      <c r="T11" s="66">
        <v>0</v>
      </c>
      <c r="U11" s="66">
        <v>0</v>
      </c>
      <c r="V11" s="66">
        <v>15</v>
      </c>
      <c r="W11" s="67">
        <v>1</v>
      </c>
      <c r="X11"/>
    </row>
    <row r="12" spans="1:24" ht="15" x14ac:dyDescent="0.25">
      <c r="A12" s="40"/>
      <c r="B12" s="40"/>
      <c r="C12" s="40"/>
      <c r="D12" s="35" t="s">
        <v>219</v>
      </c>
      <c r="E12" s="35">
        <v>5628</v>
      </c>
      <c r="F12" s="35" t="s">
        <v>217</v>
      </c>
      <c r="G12" s="43">
        <v>5</v>
      </c>
      <c r="H12" s="44">
        <v>0</v>
      </c>
      <c r="I12" s="44">
        <v>0</v>
      </c>
      <c r="J12" s="44">
        <v>0</v>
      </c>
      <c r="K12" s="44">
        <v>0</v>
      </c>
      <c r="L12" s="44">
        <v>0</v>
      </c>
      <c r="M12" s="44">
        <v>0</v>
      </c>
      <c r="N12" s="44">
        <v>0</v>
      </c>
      <c r="O12" s="44">
        <v>5</v>
      </c>
      <c r="P12" s="44">
        <v>0</v>
      </c>
      <c r="Q12" s="44">
        <v>0</v>
      </c>
      <c r="R12" s="44">
        <v>0</v>
      </c>
      <c r="S12" s="44">
        <v>0</v>
      </c>
      <c r="T12" s="44">
        <v>0</v>
      </c>
      <c r="U12" s="44">
        <v>0</v>
      </c>
      <c r="V12" s="44">
        <v>5</v>
      </c>
      <c r="W12" s="39">
        <v>1</v>
      </c>
      <c r="X12"/>
    </row>
    <row r="13" spans="1:24" ht="15" x14ac:dyDescent="0.25">
      <c r="A13" s="40"/>
      <c r="B13" s="40"/>
      <c r="C13" s="40"/>
      <c r="D13" s="63" t="s">
        <v>294</v>
      </c>
      <c r="E13" s="64"/>
      <c r="F13" s="64"/>
      <c r="G13" s="65">
        <v>5</v>
      </c>
      <c r="H13" s="66">
        <v>0</v>
      </c>
      <c r="I13" s="66">
        <v>0</v>
      </c>
      <c r="J13" s="66">
        <v>0</v>
      </c>
      <c r="K13" s="66">
        <v>0</v>
      </c>
      <c r="L13" s="66">
        <v>0</v>
      </c>
      <c r="M13" s="66">
        <v>0</v>
      </c>
      <c r="N13" s="66">
        <v>0</v>
      </c>
      <c r="O13" s="66">
        <v>5</v>
      </c>
      <c r="P13" s="66">
        <v>0</v>
      </c>
      <c r="Q13" s="66">
        <v>0</v>
      </c>
      <c r="R13" s="66">
        <v>0</v>
      </c>
      <c r="S13" s="66">
        <v>0</v>
      </c>
      <c r="T13" s="66">
        <v>0</v>
      </c>
      <c r="U13" s="66">
        <v>0</v>
      </c>
      <c r="V13" s="66">
        <v>5</v>
      </c>
      <c r="W13" s="67">
        <v>1</v>
      </c>
      <c r="X13"/>
    </row>
    <row r="14" spans="1:24" ht="15" x14ac:dyDescent="0.25">
      <c r="A14" s="40"/>
      <c r="B14" s="40"/>
      <c r="C14" s="40"/>
      <c r="D14" s="35" t="s">
        <v>220</v>
      </c>
      <c r="E14" s="35">
        <v>6089</v>
      </c>
      <c r="F14" s="35" t="s">
        <v>217</v>
      </c>
      <c r="G14" s="43">
        <v>2</v>
      </c>
      <c r="H14" s="44">
        <v>0</v>
      </c>
      <c r="I14" s="44">
        <v>0</v>
      </c>
      <c r="J14" s="44">
        <v>0</v>
      </c>
      <c r="K14" s="44">
        <v>0</v>
      </c>
      <c r="L14" s="44">
        <v>0</v>
      </c>
      <c r="M14" s="44">
        <v>0</v>
      </c>
      <c r="N14" s="44">
        <v>0</v>
      </c>
      <c r="O14" s="44">
        <v>2</v>
      </c>
      <c r="P14" s="44">
        <v>0</v>
      </c>
      <c r="Q14" s="44">
        <v>0</v>
      </c>
      <c r="R14" s="44">
        <v>0</v>
      </c>
      <c r="S14" s="44">
        <v>0</v>
      </c>
      <c r="T14" s="44">
        <v>0</v>
      </c>
      <c r="U14" s="44">
        <v>0</v>
      </c>
      <c r="V14" s="44">
        <v>2</v>
      </c>
      <c r="W14" s="39">
        <v>1</v>
      </c>
      <c r="X14"/>
    </row>
    <row r="15" spans="1:24" ht="15" x14ac:dyDescent="0.25">
      <c r="A15" s="40"/>
      <c r="B15" s="40"/>
      <c r="C15" s="40"/>
      <c r="D15" s="63" t="s">
        <v>295</v>
      </c>
      <c r="E15" s="64"/>
      <c r="F15" s="64"/>
      <c r="G15" s="65">
        <v>2</v>
      </c>
      <c r="H15" s="66">
        <v>0</v>
      </c>
      <c r="I15" s="66">
        <v>0</v>
      </c>
      <c r="J15" s="66">
        <v>0</v>
      </c>
      <c r="K15" s="66">
        <v>0</v>
      </c>
      <c r="L15" s="66">
        <v>0</v>
      </c>
      <c r="M15" s="66">
        <v>0</v>
      </c>
      <c r="N15" s="66">
        <v>0</v>
      </c>
      <c r="O15" s="66">
        <v>2</v>
      </c>
      <c r="P15" s="66">
        <v>0</v>
      </c>
      <c r="Q15" s="66">
        <v>0</v>
      </c>
      <c r="R15" s="66">
        <v>0</v>
      </c>
      <c r="S15" s="66">
        <v>0</v>
      </c>
      <c r="T15" s="66">
        <v>0</v>
      </c>
      <c r="U15" s="66">
        <v>0</v>
      </c>
      <c r="V15" s="66">
        <v>2</v>
      </c>
      <c r="W15" s="67">
        <v>1</v>
      </c>
      <c r="X15"/>
    </row>
    <row r="16" spans="1:24" ht="15" x14ac:dyDescent="0.25">
      <c r="A16" s="47" t="s">
        <v>296</v>
      </c>
      <c r="B16" s="57"/>
      <c r="C16" s="57"/>
      <c r="D16" s="57"/>
      <c r="E16" s="57"/>
      <c r="F16" s="57"/>
      <c r="G16" s="58">
        <v>32</v>
      </c>
      <c r="H16" s="59">
        <v>0</v>
      </c>
      <c r="I16" s="59">
        <v>0</v>
      </c>
      <c r="J16" s="59">
        <v>0</v>
      </c>
      <c r="K16" s="59">
        <v>0</v>
      </c>
      <c r="L16" s="59">
        <v>0</v>
      </c>
      <c r="M16" s="59">
        <v>0</v>
      </c>
      <c r="N16" s="59">
        <v>0</v>
      </c>
      <c r="O16" s="59">
        <v>22</v>
      </c>
      <c r="P16" s="59">
        <v>10</v>
      </c>
      <c r="Q16" s="59">
        <v>0</v>
      </c>
      <c r="R16" s="59">
        <v>0</v>
      </c>
      <c r="S16" s="59">
        <v>0</v>
      </c>
      <c r="T16" s="59">
        <v>0</v>
      </c>
      <c r="U16" s="59">
        <v>0</v>
      </c>
      <c r="V16" s="59">
        <v>32</v>
      </c>
      <c r="W16" s="60">
        <v>1</v>
      </c>
      <c r="X16"/>
    </row>
    <row r="17" spans="1:24" ht="15" x14ac:dyDescent="0.25">
      <c r="A17" s="35" t="s">
        <v>160</v>
      </c>
      <c r="B17" s="35" t="s">
        <v>222</v>
      </c>
      <c r="C17" s="35">
        <v>51987</v>
      </c>
      <c r="D17" s="35" t="s">
        <v>221</v>
      </c>
      <c r="E17" s="35">
        <v>5452</v>
      </c>
      <c r="F17" s="35" t="s">
        <v>160</v>
      </c>
      <c r="G17" s="43">
        <v>5</v>
      </c>
      <c r="H17" s="44">
        <v>0</v>
      </c>
      <c r="I17" s="44">
        <v>0</v>
      </c>
      <c r="J17" s="44">
        <v>0</v>
      </c>
      <c r="K17" s="44">
        <v>0</v>
      </c>
      <c r="L17" s="44">
        <v>5</v>
      </c>
      <c r="M17" s="44">
        <v>0</v>
      </c>
      <c r="N17" s="44">
        <v>0</v>
      </c>
      <c r="O17" s="44">
        <v>0</v>
      </c>
      <c r="P17" s="44">
        <v>0</v>
      </c>
      <c r="Q17" s="44">
        <v>0</v>
      </c>
      <c r="R17" s="44">
        <v>0</v>
      </c>
      <c r="S17" s="44">
        <v>0</v>
      </c>
      <c r="T17" s="44">
        <v>0</v>
      </c>
      <c r="U17" s="44">
        <v>0</v>
      </c>
      <c r="V17" s="44">
        <v>5</v>
      </c>
      <c r="W17" s="39">
        <v>1</v>
      </c>
      <c r="X17"/>
    </row>
    <row r="18" spans="1:24" ht="15" x14ac:dyDescent="0.25">
      <c r="A18" s="40"/>
      <c r="B18" s="40"/>
      <c r="C18" s="40"/>
      <c r="D18" s="63" t="s">
        <v>297</v>
      </c>
      <c r="E18" s="64"/>
      <c r="F18" s="64"/>
      <c r="G18" s="65">
        <v>5</v>
      </c>
      <c r="H18" s="66">
        <v>0</v>
      </c>
      <c r="I18" s="66">
        <v>0</v>
      </c>
      <c r="J18" s="66">
        <v>0</v>
      </c>
      <c r="K18" s="66">
        <v>0</v>
      </c>
      <c r="L18" s="66">
        <v>5</v>
      </c>
      <c r="M18" s="66">
        <v>0</v>
      </c>
      <c r="N18" s="66">
        <v>0</v>
      </c>
      <c r="O18" s="66">
        <v>0</v>
      </c>
      <c r="P18" s="66">
        <v>0</v>
      </c>
      <c r="Q18" s="66">
        <v>0</v>
      </c>
      <c r="R18" s="66">
        <v>0</v>
      </c>
      <c r="S18" s="66">
        <v>0</v>
      </c>
      <c r="T18" s="66">
        <v>0</v>
      </c>
      <c r="U18" s="66">
        <v>0</v>
      </c>
      <c r="V18" s="66">
        <v>5</v>
      </c>
      <c r="W18" s="67">
        <v>1</v>
      </c>
      <c r="X18"/>
    </row>
    <row r="19" spans="1:24" ht="15" x14ac:dyDescent="0.25">
      <c r="A19" s="40"/>
      <c r="B19" s="35" t="s">
        <v>223</v>
      </c>
      <c r="C19" s="35">
        <v>53314</v>
      </c>
      <c r="D19" s="35" t="s">
        <v>221</v>
      </c>
      <c r="E19" s="35">
        <v>5452</v>
      </c>
      <c r="F19" s="35" t="s">
        <v>160</v>
      </c>
      <c r="G19" s="43">
        <v>5</v>
      </c>
      <c r="H19" s="44">
        <v>0</v>
      </c>
      <c r="I19" s="44">
        <v>0</v>
      </c>
      <c r="J19" s="44">
        <v>0</v>
      </c>
      <c r="K19" s="44">
        <v>0</v>
      </c>
      <c r="L19" s="44">
        <v>0</v>
      </c>
      <c r="M19" s="44">
        <v>0</v>
      </c>
      <c r="N19" s="44">
        <v>0</v>
      </c>
      <c r="O19" s="44">
        <v>5</v>
      </c>
      <c r="P19" s="44">
        <v>0</v>
      </c>
      <c r="Q19" s="44">
        <v>0</v>
      </c>
      <c r="R19" s="44">
        <v>0</v>
      </c>
      <c r="S19" s="44">
        <v>0</v>
      </c>
      <c r="T19" s="44">
        <v>0</v>
      </c>
      <c r="U19" s="44">
        <v>0</v>
      </c>
      <c r="V19" s="44">
        <v>5</v>
      </c>
      <c r="W19" s="39">
        <v>1</v>
      </c>
      <c r="X19"/>
    </row>
    <row r="20" spans="1:24" ht="15" x14ac:dyDescent="0.25">
      <c r="A20" s="40"/>
      <c r="B20" s="40"/>
      <c r="C20" s="40"/>
      <c r="D20" s="63" t="s">
        <v>297</v>
      </c>
      <c r="E20" s="64"/>
      <c r="F20" s="64"/>
      <c r="G20" s="65">
        <v>5</v>
      </c>
      <c r="H20" s="66">
        <v>0</v>
      </c>
      <c r="I20" s="66">
        <v>0</v>
      </c>
      <c r="J20" s="66">
        <v>0</v>
      </c>
      <c r="K20" s="66">
        <v>0</v>
      </c>
      <c r="L20" s="66">
        <v>0</v>
      </c>
      <c r="M20" s="66">
        <v>0</v>
      </c>
      <c r="N20" s="66">
        <v>0</v>
      </c>
      <c r="O20" s="66">
        <v>5</v>
      </c>
      <c r="P20" s="66">
        <v>0</v>
      </c>
      <c r="Q20" s="66">
        <v>0</v>
      </c>
      <c r="R20" s="66">
        <v>0</v>
      </c>
      <c r="S20" s="66">
        <v>0</v>
      </c>
      <c r="T20" s="66">
        <v>0</v>
      </c>
      <c r="U20" s="66">
        <v>0</v>
      </c>
      <c r="V20" s="66">
        <v>5</v>
      </c>
      <c r="W20" s="67">
        <v>1</v>
      </c>
      <c r="X20"/>
    </row>
    <row r="21" spans="1:24" ht="15" x14ac:dyDescent="0.25">
      <c r="A21" s="40"/>
      <c r="B21" s="35" t="s">
        <v>225</v>
      </c>
      <c r="C21" s="35" t="s">
        <v>224</v>
      </c>
      <c r="D21" s="35" t="s">
        <v>221</v>
      </c>
      <c r="E21" s="35">
        <v>5452</v>
      </c>
      <c r="F21" s="35" t="s">
        <v>160</v>
      </c>
      <c r="G21" s="43">
        <v>5</v>
      </c>
      <c r="H21" s="44">
        <v>0</v>
      </c>
      <c r="I21" s="44">
        <v>0</v>
      </c>
      <c r="J21" s="44">
        <v>0</v>
      </c>
      <c r="K21" s="44">
        <v>0</v>
      </c>
      <c r="L21" s="44">
        <v>0</v>
      </c>
      <c r="M21" s="44">
        <v>0</v>
      </c>
      <c r="N21" s="44">
        <v>0</v>
      </c>
      <c r="O21" s="44">
        <v>0</v>
      </c>
      <c r="P21" s="44">
        <v>0</v>
      </c>
      <c r="Q21" s="44">
        <v>0</v>
      </c>
      <c r="R21" s="44">
        <v>0</v>
      </c>
      <c r="S21" s="44">
        <v>5</v>
      </c>
      <c r="T21" s="44">
        <v>0</v>
      </c>
      <c r="U21" s="44">
        <v>0</v>
      </c>
      <c r="V21" s="44">
        <v>5</v>
      </c>
      <c r="W21" s="39">
        <v>1</v>
      </c>
      <c r="X21"/>
    </row>
    <row r="22" spans="1:24" ht="15" x14ac:dyDescent="0.25">
      <c r="A22" s="40"/>
      <c r="B22" s="40"/>
      <c r="C22" s="40"/>
      <c r="D22" s="63" t="s">
        <v>297</v>
      </c>
      <c r="E22" s="64"/>
      <c r="F22" s="64"/>
      <c r="G22" s="65">
        <v>5</v>
      </c>
      <c r="H22" s="66">
        <v>0</v>
      </c>
      <c r="I22" s="66">
        <v>0</v>
      </c>
      <c r="J22" s="66">
        <v>0</v>
      </c>
      <c r="K22" s="66">
        <v>0</v>
      </c>
      <c r="L22" s="66">
        <v>0</v>
      </c>
      <c r="M22" s="66">
        <v>0</v>
      </c>
      <c r="N22" s="66">
        <v>0</v>
      </c>
      <c r="O22" s="66">
        <v>0</v>
      </c>
      <c r="P22" s="66">
        <v>0</v>
      </c>
      <c r="Q22" s="66">
        <v>0</v>
      </c>
      <c r="R22" s="66">
        <v>0</v>
      </c>
      <c r="S22" s="66">
        <v>5</v>
      </c>
      <c r="T22" s="66">
        <v>0</v>
      </c>
      <c r="U22" s="66">
        <v>0</v>
      </c>
      <c r="V22" s="66">
        <v>5</v>
      </c>
      <c r="W22" s="67">
        <v>1</v>
      </c>
      <c r="X22"/>
    </row>
    <row r="23" spans="1:24" ht="15" x14ac:dyDescent="0.25">
      <c r="A23" s="40"/>
      <c r="B23" s="35" t="s">
        <v>227</v>
      </c>
      <c r="C23" s="35" t="s">
        <v>226</v>
      </c>
      <c r="D23" s="35" t="s">
        <v>221</v>
      </c>
      <c r="E23" s="35">
        <v>5452</v>
      </c>
      <c r="F23" s="35" t="s">
        <v>160</v>
      </c>
      <c r="G23" s="43">
        <v>8</v>
      </c>
      <c r="H23" s="44">
        <v>0</v>
      </c>
      <c r="I23" s="44">
        <v>0</v>
      </c>
      <c r="J23" s="44">
        <v>0</v>
      </c>
      <c r="K23" s="44">
        <v>0</v>
      </c>
      <c r="L23" s="44">
        <v>0</v>
      </c>
      <c r="M23" s="44">
        <v>0</v>
      </c>
      <c r="N23" s="44">
        <v>0</v>
      </c>
      <c r="O23" s="44">
        <v>0</v>
      </c>
      <c r="P23" s="44">
        <v>0</v>
      </c>
      <c r="Q23" s="44">
        <v>0</v>
      </c>
      <c r="R23" s="44">
        <v>8</v>
      </c>
      <c r="S23" s="44">
        <v>0</v>
      </c>
      <c r="T23" s="44">
        <v>0</v>
      </c>
      <c r="U23" s="44">
        <v>0</v>
      </c>
      <c r="V23" s="44">
        <v>8</v>
      </c>
      <c r="W23" s="39">
        <v>1</v>
      </c>
      <c r="X23"/>
    </row>
    <row r="24" spans="1:24" ht="15" x14ac:dyDescent="0.25">
      <c r="A24" s="40"/>
      <c r="B24" s="40"/>
      <c r="C24" s="40"/>
      <c r="D24" s="63" t="s">
        <v>297</v>
      </c>
      <c r="E24" s="64"/>
      <c r="F24" s="64"/>
      <c r="G24" s="65">
        <v>8</v>
      </c>
      <c r="H24" s="66">
        <v>0</v>
      </c>
      <c r="I24" s="66">
        <v>0</v>
      </c>
      <c r="J24" s="66">
        <v>0</v>
      </c>
      <c r="K24" s="66">
        <v>0</v>
      </c>
      <c r="L24" s="66">
        <v>0</v>
      </c>
      <c r="M24" s="66">
        <v>0</v>
      </c>
      <c r="N24" s="66">
        <v>0</v>
      </c>
      <c r="O24" s="66">
        <v>0</v>
      </c>
      <c r="P24" s="66">
        <v>0</v>
      </c>
      <c r="Q24" s="66">
        <v>0</v>
      </c>
      <c r="R24" s="66">
        <v>8</v>
      </c>
      <c r="S24" s="66">
        <v>0</v>
      </c>
      <c r="T24" s="66">
        <v>0</v>
      </c>
      <c r="U24" s="66">
        <v>0</v>
      </c>
      <c r="V24" s="66">
        <v>8</v>
      </c>
      <c r="W24" s="67">
        <v>1</v>
      </c>
      <c r="X24"/>
    </row>
    <row r="25" spans="1:24" ht="15" x14ac:dyDescent="0.25">
      <c r="A25" s="47" t="s">
        <v>179</v>
      </c>
      <c r="B25" s="57"/>
      <c r="C25" s="57"/>
      <c r="D25" s="57"/>
      <c r="E25" s="57"/>
      <c r="F25" s="57"/>
      <c r="G25" s="58">
        <v>23</v>
      </c>
      <c r="H25" s="59">
        <v>0</v>
      </c>
      <c r="I25" s="59">
        <v>0</v>
      </c>
      <c r="J25" s="59">
        <v>0</v>
      </c>
      <c r="K25" s="59">
        <v>0</v>
      </c>
      <c r="L25" s="59">
        <v>5</v>
      </c>
      <c r="M25" s="59">
        <v>0</v>
      </c>
      <c r="N25" s="59">
        <v>0</v>
      </c>
      <c r="O25" s="59">
        <v>5</v>
      </c>
      <c r="P25" s="59">
        <v>0</v>
      </c>
      <c r="Q25" s="59">
        <v>0</v>
      </c>
      <c r="R25" s="59">
        <v>8</v>
      </c>
      <c r="S25" s="59">
        <v>5</v>
      </c>
      <c r="T25" s="59">
        <v>0</v>
      </c>
      <c r="U25" s="59">
        <v>0</v>
      </c>
      <c r="V25" s="59">
        <v>23</v>
      </c>
      <c r="W25" s="60">
        <v>1</v>
      </c>
      <c r="X25"/>
    </row>
    <row r="26" spans="1:24" ht="15" x14ac:dyDescent="0.25">
      <c r="A26" s="35" t="s">
        <v>158</v>
      </c>
      <c r="B26" s="35" t="s">
        <v>192</v>
      </c>
      <c r="C26" s="35" t="s">
        <v>190</v>
      </c>
      <c r="D26" s="35" t="s">
        <v>191</v>
      </c>
      <c r="E26" s="35">
        <v>5624</v>
      </c>
      <c r="F26" s="35" t="s">
        <v>158</v>
      </c>
      <c r="G26" s="43">
        <v>12</v>
      </c>
      <c r="H26" s="44">
        <v>0</v>
      </c>
      <c r="I26" s="44">
        <v>0</v>
      </c>
      <c r="J26" s="44">
        <v>0</v>
      </c>
      <c r="K26" s="44">
        <v>0</v>
      </c>
      <c r="L26" s="44">
        <v>0</v>
      </c>
      <c r="M26" s="44">
        <v>0</v>
      </c>
      <c r="N26" s="44">
        <v>0</v>
      </c>
      <c r="O26" s="44">
        <v>12</v>
      </c>
      <c r="P26" s="44">
        <v>0</v>
      </c>
      <c r="Q26" s="44">
        <v>0</v>
      </c>
      <c r="R26" s="44">
        <v>0</v>
      </c>
      <c r="S26" s="44">
        <v>0</v>
      </c>
      <c r="T26" s="44">
        <v>0</v>
      </c>
      <c r="U26" s="44">
        <v>0</v>
      </c>
      <c r="V26" s="44">
        <v>12</v>
      </c>
      <c r="W26" s="39">
        <v>1</v>
      </c>
      <c r="X26"/>
    </row>
    <row r="27" spans="1:24" ht="15" x14ac:dyDescent="0.25">
      <c r="A27" s="40"/>
      <c r="B27" s="40"/>
      <c r="C27" s="40"/>
      <c r="D27" s="63" t="s">
        <v>298</v>
      </c>
      <c r="E27" s="64"/>
      <c r="F27" s="64"/>
      <c r="G27" s="65">
        <v>12</v>
      </c>
      <c r="H27" s="66">
        <v>0</v>
      </c>
      <c r="I27" s="66">
        <v>0</v>
      </c>
      <c r="J27" s="66">
        <v>0</v>
      </c>
      <c r="K27" s="66">
        <v>0</v>
      </c>
      <c r="L27" s="66">
        <v>0</v>
      </c>
      <c r="M27" s="66">
        <v>0</v>
      </c>
      <c r="N27" s="66">
        <v>0</v>
      </c>
      <c r="O27" s="66">
        <v>12</v>
      </c>
      <c r="P27" s="66">
        <v>0</v>
      </c>
      <c r="Q27" s="66">
        <v>0</v>
      </c>
      <c r="R27" s="66">
        <v>0</v>
      </c>
      <c r="S27" s="66">
        <v>0</v>
      </c>
      <c r="T27" s="66">
        <v>0</v>
      </c>
      <c r="U27" s="66">
        <v>0</v>
      </c>
      <c r="V27" s="66">
        <v>12</v>
      </c>
      <c r="W27" s="67">
        <v>1</v>
      </c>
      <c r="X27"/>
    </row>
    <row r="28" spans="1:24" ht="15" x14ac:dyDescent="0.25">
      <c r="A28" s="47" t="s">
        <v>180</v>
      </c>
      <c r="B28" s="57"/>
      <c r="C28" s="57"/>
      <c r="D28" s="57"/>
      <c r="E28" s="57"/>
      <c r="F28" s="57"/>
      <c r="G28" s="58">
        <v>12</v>
      </c>
      <c r="H28" s="59">
        <v>0</v>
      </c>
      <c r="I28" s="59">
        <v>0</v>
      </c>
      <c r="J28" s="59">
        <v>0</v>
      </c>
      <c r="K28" s="59">
        <v>0</v>
      </c>
      <c r="L28" s="59">
        <v>0</v>
      </c>
      <c r="M28" s="59">
        <v>0</v>
      </c>
      <c r="N28" s="59">
        <v>0</v>
      </c>
      <c r="O28" s="59">
        <v>12</v>
      </c>
      <c r="P28" s="59">
        <v>0</v>
      </c>
      <c r="Q28" s="59">
        <v>0</v>
      </c>
      <c r="R28" s="59">
        <v>0</v>
      </c>
      <c r="S28" s="59">
        <v>0</v>
      </c>
      <c r="T28" s="59">
        <v>0</v>
      </c>
      <c r="U28" s="59">
        <v>0</v>
      </c>
      <c r="V28" s="59">
        <v>12</v>
      </c>
      <c r="W28" s="60">
        <v>1</v>
      </c>
      <c r="X28"/>
    </row>
    <row r="29" spans="1:24" ht="15" x14ac:dyDescent="0.25">
      <c r="A29" s="35" t="s">
        <v>193</v>
      </c>
      <c r="B29" s="35" t="s">
        <v>195</v>
      </c>
      <c r="C29" s="35">
        <v>51693</v>
      </c>
      <c r="D29" s="35" t="s">
        <v>194</v>
      </c>
      <c r="E29" s="35">
        <v>5613</v>
      </c>
      <c r="F29" s="35" t="s">
        <v>193</v>
      </c>
      <c r="G29" s="43">
        <v>1</v>
      </c>
      <c r="H29" s="44">
        <v>0</v>
      </c>
      <c r="I29" s="44">
        <v>0</v>
      </c>
      <c r="J29" s="44">
        <v>0</v>
      </c>
      <c r="K29" s="44">
        <v>1</v>
      </c>
      <c r="L29" s="44">
        <v>0</v>
      </c>
      <c r="M29" s="44">
        <v>0</v>
      </c>
      <c r="N29" s="44">
        <v>0</v>
      </c>
      <c r="O29" s="44">
        <v>0</v>
      </c>
      <c r="P29" s="44">
        <v>0</v>
      </c>
      <c r="Q29" s="44">
        <v>0</v>
      </c>
      <c r="R29" s="44">
        <v>0</v>
      </c>
      <c r="S29" s="44">
        <v>0</v>
      </c>
      <c r="T29" s="44">
        <v>0</v>
      </c>
      <c r="U29" s="44">
        <v>0</v>
      </c>
      <c r="V29" s="44">
        <v>1</v>
      </c>
      <c r="W29" s="39">
        <v>1</v>
      </c>
      <c r="X29"/>
    </row>
    <row r="30" spans="1:24" ht="15" x14ac:dyDescent="0.25">
      <c r="A30" s="40"/>
      <c r="B30" s="40"/>
      <c r="C30" s="40"/>
      <c r="D30" s="63" t="s">
        <v>291</v>
      </c>
      <c r="E30" s="64"/>
      <c r="F30" s="64"/>
      <c r="G30" s="65">
        <v>1</v>
      </c>
      <c r="H30" s="66">
        <v>0</v>
      </c>
      <c r="I30" s="66">
        <v>0</v>
      </c>
      <c r="J30" s="66">
        <v>0</v>
      </c>
      <c r="K30" s="66">
        <v>1</v>
      </c>
      <c r="L30" s="66">
        <v>0</v>
      </c>
      <c r="M30" s="66">
        <v>0</v>
      </c>
      <c r="N30" s="66">
        <v>0</v>
      </c>
      <c r="O30" s="66">
        <v>0</v>
      </c>
      <c r="P30" s="66">
        <v>0</v>
      </c>
      <c r="Q30" s="66">
        <v>0</v>
      </c>
      <c r="R30" s="66">
        <v>0</v>
      </c>
      <c r="S30" s="66">
        <v>0</v>
      </c>
      <c r="T30" s="66">
        <v>0</v>
      </c>
      <c r="U30" s="66">
        <v>0</v>
      </c>
      <c r="V30" s="66">
        <v>1</v>
      </c>
      <c r="W30" s="67">
        <v>1</v>
      </c>
      <c r="X30"/>
    </row>
    <row r="31" spans="1:24" ht="15" x14ac:dyDescent="0.25">
      <c r="A31" s="40"/>
      <c r="B31" s="35" t="s">
        <v>196</v>
      </c>
      <c r="C31" s="35">
        <v>1717</v>
      </c>
      <c r="D31" s="35" t="s">
        <v>191</v>
      </c>
      <c r="E31" s="35">
        <v>5624</v>
      </c>
      <c r="F31" s="35" t="s">
        <v>193</v>
      </c>
      <c r="G31" s="43">
        <v>2</v>
      </c>
      <c r="H31" s="44">
        <v>0</v>
      </c>
      <c r="I31" s="44">
        <v>0</v>
      </c>
      <c r="J31" s="44">
        <v>0</v>
      </c>
      <c r="K31" s="44">
        <v>0</v>
      </c>
      <c r="L31" s="44">
        <v>0</v>
      </c>
      <c r="M31" s="44">
        <v>0</v>
      </c>
      <c r="N31" s="44">
        <v>0</v>
      </c>
      <c r="O31" s="44">
        <v>0</v>
      </c>
      <c r="P31" s="44">
        <v>0</v>
      </c>
      <c r="Q31" s="44">
        <v>2</v>
      </c>
      <c r="R31" s="44">
        <v>0</v>
      </c>
      <c r="S31" s="44">
        <v>0</v>
      </c>
      <c r="T31" s="44">
        <v>0</v>
      </c>
      <c r="U31" s="44">
        <v>0</v>
      </c>
      <c r="V31" s="44">
        <v>2</v>
      </c>
      <c r="W31" s="39">
        <v>1</v>
      </c>
      <c r="X31"/>
    </row>
    <row r="32" spans="1:24" ht="15" x14ac:dyDescent="0.25">
      <c r="A32" s="40"/>
      <c r="B32" s="40"/>
      <c r="C32" s="40"/>
      <c r="D32" s="63" t="s">
        <v>298</v>
      </c>
      <c r="E32" s="64"/>
      <c r="F32" s="64"/>
      <c r="G32" s="65">
        <v>2</v>
      </c>
      <c r="H32" s="66">
        <v>0</v>
      </c>
      <c r="I32" s="66">
        <v>0</v>
      </c>
      <c r="J32" s="66">
        <v>0</v>
      </c>
      <c r="K32" s="66">
        <v>0</v>
      </c>
      <c r="L32" s="66">
        <v>0</v>
      </c>
      <c r="M32" s="66">
        <v>0</v>
      </c>
      <c r="N32" s="66">
        <v>0</v>
      </c>
      <c r="O32" s="66">
        <v>0</v>
      </c>
      <c r="P32" s="66">
        <v>0</v>
      </c>
      <c r="Q32" s="66">
        <v>2</v>
      </c>
      <c r="R32" s="66">
        <v>0</v>
      </c>
      <c r="S32" s="66">
        <v>0</v>
      </c>
      <c r="T32" s="66">
        <v>0</v>
      </c>
      <c r="U32" s="66">
        <v>0</v>
      </c>
      <c r="V32" s="66">
        <v>2</v>
      </c>
      <c r="W32" s="67">
        <v>1</v>
      </c>
      <c r="X32"/>
    </row>
    <row r="33" spans="1:24" ht="15" x14ac:dyDescent="0.25">
      <c r="A33" s="40"/>
      <c r="B33" s="35" t="s">
        <v>197</v>
      </c>
      <c r="C33" s="35">
        <v>52879</v>
      </c>
      <c r="D33" s="35" t="s">
        <v>187</v>
      </c>
      <c r="E33" s="35">
        <v>5627</v>
      </c>
      <c r="F33" s="35" t="s">
        <v>193</v>
      </c>
      <c r="G33" s="43">
        <v>2</v>
      </c>
      <c r="H33" s="44">
        <v>0</v>
      </c>
      <c r="I33" s="44">
        <v>0</v>
      </c>
      <c r="J33" s="44">
        <v>0</v>
      </c>
      <c r="K33" s="44">
        <v>0</v>
      </c>
      <c r="L33" s="44">
        <v>0</v>
      </c>
      <c r="M33" s="44">
        <v>0</v>
      </c>
      <c r="N33" s="44">
        <v>2</v>
      </c>
      <c r="O33" s="44">
        <v>0</v>
      </c>
      <c r="P33" s="44">
        <v>0</v>
      </c>
      <c r="Q33" s="44">
        <v>0</v>
      </c>
      <c r="R33" s="44">
        <v>0</v>
      </c>
      <c r="S33" s="44">
        <v>0</v>
      </c>
      <c r="T33" s="44">
        <v>0</v>
      </c>
      <c r="U33" s="44">
        <v>0</v>
      </c>
      <c r="V33" s="44">
        <v>2</v>
      </c>
      <c r="W33" s="39">
        <v>1</v>
      </c>
      <c r="X33"/>
    </row>
    <row r="34" spans="1:24" ht="15" x14ac:dyDescent="0.25">
      <c r="A34" s="40"/>
      <c r="B34" s="40"/>
      <c r="C34" s="40"/>
      <c r="D34" s="63" t="s">
        <v>293</v>
      </c>
      <c r="E34" s="64"/>
      <c r="F34" s="64"/>
      <c r="G34" s="65">
        <v>2</v>
      </c>
      <c r="H34" s="66">
        <v>0</v>
      </c>
      <c r="I34" s="66">
        <v>0</v>
      </c>
      <c r="J34" s="66">
        <v>0</v>
      </c>
      <c r="K34" s="66">
        <v>0</v>
      </c>
      <c r="L34" s="66">
        <v>0</v>
      </c>
      <c r="M34" s="66">
        <v>0</v>
      </c>
      <c r="N34" s="66">
        <v>2</v>
      </c>
      <c r="O34" s="66">
        <v>0</v>
      </c>
      <c r="P34" s="66">
        <v>0</v>
      </c>
      <c r="Q34" s="66">
        <v>0</v>
      </c>
      <c r="R34" s="66">
        <v>0</v>
      </c>
      <c r="S34" s="66">
        <v>0</v>
      </c>
      <c r="T34" s="66">
        <v>0</v>
      </c>
      <c r="U34" s="66">
        <v>0</v>
      </c>
      <c r="V34" s="66">
        <v>2</v>
      </c>
      <c r="W34" s="67">
        <v>1</v>
      </c>
      <c r="X34"/>
    </row>
    <row r="35" spans="1:24" ht="15" x14ac:dyDescent="0.25">
      <c r="A35" s="40"/>
      <c r="B35" s="35" t="s">
        <v>198</v>
      </c>
      <c r="C35" s="35">
        <v>52701</v>
      </c>
      <c r="D35" s="35" t="s">
        <v>189</v>
      </c>
      <c r="E35" s="35">
        <v>5835</v>
      </c>
      <c r="F35" s="35" t="s">
        <v>193</v>
      </c>
      <c r="G35" s="43">
        <v>3</v>
      </c>
      <c r="H35" s="44">
        <v>0</v>
      </c>
      <c r="I35" s="44">
        <v>0</v>
      </c>
      <c r="J35" s="44">
        <v>0</v>
      </c>
      <c r="K35" s="44">
        <v>0</v>
      </c>
      <c r="L35" s="44">
        <v>0</v>
      </c>
      <c r="M35" s="44">
        <v>1</v>
      </c>
      <c r="N35" s="44">
        <v>0</v>
      </c>
      <c r="O35" s="44">
        <v>2</v>
      </c>
      <c r="P35" s="44">
        <v>0</v>
      </c>
      <c r="Q35" s="44">
        <v>0</v>
      </c>
      <c r="R35" s="44">
        <v>0</v>
      </c>
      <c r="S35" s="44">
        <v>0</v>
      </c>
      <c r="T35" s="44">
        <v>0</v>
      </c>
      <c r="U35" s="44">
        <v>0</v>
      </c>
      <c r="V35" s="44">
        <v>3</v>
      </c>
      <c r="W35" s="39">
        <v>1</v>
      </c>
      <c r="X35"/>
    </row>
    <row r="36" spans="1:24" ht="15" x14ac:dyDescent="0.25">
      <c r="A36" s="40"/>
      <c r="B36" s="40"/>
      <c r="C36" s="40"/>
      <c r="D36" s="63" t="s">
        <v>299</v>
      </c>
      <c r="E36" s="64"/>
      <c r="F36" s="64"/>
      <c r="G36" s="65">
        <v>3</v>
      </c>
      <c r="H36" s="66">
        <v>0</v>
      </c>
      <c r="I36" s="66">
        <v>0</v>
      </c>
      <c r="J36" s="66">
        <v>0</v>
      </c>
      <c r="K36" s="66">
        <v>0</v>
      </c>
      <c r="L36" s="66">
        <v>0</v>
      </c>
      <c r="M36" s="66">
        <v>1</v>
      </c>
      <c r="N36" s="66">
        <v>0</v>
      </c>
      <c r="O36" s="66">
        <v>2</v>
      </c>
      <c r="P36" s="66">
        <v>0</v>
      </c>
      <c r="Q36" s="66">
        <v>0</v>
      </c>
      <c r="R36" s="66">
        <v>0</v>
      </c>
      <c r="S36" s="66">
        <v>0</v>
      </c>
      <c r="T36" s="66">
        <v>0</v>
      </c>
      <c r="U36" s="66">
        <v>0</v>
      </c>
      <c r="V36" s="66">
        <v>3</v>
      </c>
      <c r="W36" s="67">
        <v>1</v>
      </c>
      <c r="X36"/>
    </row>
    <row r="37" spans="1:24" ht="15" x14ac:dyDescent="0.25">
      <c r="A37" s="47" t="s">
        <v>300</v>
      </c>
      <c r="B37" s="57"/>
      <c r="C37" s="57"/>
      <c r="D37" s="57"/>
      <c r="E37" s="57"/>
      <c r="F37" s="57"/>
      <c r="G37" s="58">
        <v>8</v>
      </c>
      <c r="H37" s="59">
        <v>0</v>
      </c>
      <c r="I37" s="59">
        <v>0</v>
      </c>
      <c r="J37" s="59">
        <v>0</v>
      </c>
      <c r="K37" s="59">
        <v>1</v>
      </c>
      <c r="L37" s="59">
        <v>0</v>
      </c>
      <c r="M37" s="59">
        <v>1</v>
      </c>
      <c r="N37" s="59">
        <v>2</v>
      </c>
      <c r="O37" s="59">
        <v>2</v>
      </c>
      <c r="P37" s="59">
        <v>0</v>
      </c>
      <c r="Q37" s="59">
        <v>2</v>
      </c>
      <c r="R37" s="59">
        <v>0</v>
      </c>
      <c r="S37" s="59">
        <v>0</v>
      </c>
      <c r="T37" s="59">
        <v>0</v>
      </c>
      <c r="U37" s="59">
        <v>0</v>
      </c>
      <c r="V37" s="59">
        <v>8</v>
      </c>
      <c r="W37" s="60">
        <v>1</v>
      </c>
      <c r="X37"/>
    </row>
    <row r="38" spans="1:24" ht="15" x14ac:dyDescent="0.25">
      <c r="A38" s="35" t="s">
        <v>228</v>
      </c>
      <c r="B38" s="35" t="s">
        <v>229</v>
      </c>
      <c r="C38" s="35">
        <v>53286</v>
      </c>
      <c r="D38" s="35" t="s">
        <v>214</v>
      </c>
      <c r="E38" s="35">
        <v>6086</v>
      </c>
      <c r="F38" s="35" t="s">
        <v>228</v>
      </c>
      <c r="G38" s="43">
        <v>6</v>
      </c>
      <c r="H38" s="44">
        <v>0</v>
      </c>
      <c r="I38" s="44">
        <v>0</v>
      </c>
      <c r="J38" s="44">
        <v>0</v>
      </c>
      <c r="K38" s="44">
        <v>0</v>
      </c>
      <c r="L38" s="44">
        <v>0</v>
      </c>
      <c r="M38" s="44">
        <v>0</v>
      </c>
      <c r="N38" s="44">
        <v>0</v>
      </c>
      <c r="O38" s="44">
        <v>6</v>
      </c>
      <c r="P38" s="44">
        <v>0</v>
      </c>
      <c r="Q38" s="44">
        <v>0</v>
      </c>
      <c r="R38" s="44">
        <v>0</v>
      </c>
      <c r="S38" s="44">
        <v>0</v>
      </c>
      <c r="T38" s="44">
        <v>0</v>
      </c>
      <c r="U38" s="44">
        <v>0</v>
      </c>
      <c r="V38" s="44">
        <v>6</v>
      </c>
      <c r="W38" s="39">
        <v>1</v>
      </c>
      <c r="X38"/>
    </row>
    <row r="39" spans="1:24" ht="15" x14ac:dyDescent="0.25">
      <c r="A39" s="40"/>
      <c r="B39" s="40"/>
      <c r="C39" s="40"/>
      <c r="D39" s="63" t="s">
        <v>301</v>
      </c>
      <c r="E39" s="64"/>
      <c r="F39" s="64"/>
      <c r="G39" s="65">
        <v>6</v>
      </c>
      <c r="H39" s="66">
        <v>0</v>
      </c>
      <c r="I39" s="66">
        <v>0</v>
      </c>
      <c r="J39" s="66">
        <v>0</v>
      </c>
      <c r="K39" s="66">
        <v>0</v>
      </c>
      <c r="L39" s="66">
        <v>0</v>
      </c>
      <c r="M39" s="66">
        <v>0</v>
      </c>
      <c r="N39" s="66">
        <v>0</v>
      </c>
      <c r="O39" s="66">
        <v>6</v>
      </c>
      <c r="P39" s="66">
        <v>0</v>
      </c>
      <c r="Q39" s="66">
        <v>0</v>
      </c>
      <c r="R39" s="66">
        <v>0</v>
      </c>
      <c r="S39" s="66">
        <v>0</v>
      </c>
      <c r="T39" s="66">
        <v>0</v>
      </c>
      <c r="U39" s="66">
        <v>0</v>
      </c>
      <c r="V39" s="66">
        <v>6</v>
      </c>
      <c r="W39" s="67">
        <v>1</v>
      </c>
      <c r="X39"/>
    </row>
    <row r="40" spans="1:24" ht="15" x14ac:dyDescent="0.25">
      <c r="A40" s="40"/>
      <c r="B40" s="35" t="s">
        <v>230</v>
      </c>
      <c r="C40" s="35">
        <v>53563</v>
      </c>
      <c r="D40" s="35" t="s">
        <v>214</v>
      </c>
      <c r="E40" s="35">
        <v>6086</v>
      </c>
      <c r="F40" s="35" t="s">
        <v>228</v>
      </c>
      <c r="G40" s="43">
        <v>6</v>
      </c>
      <c r="H40" s="44">
        <v>0</v>
      </c>
      <c r="I40" s="44">
        <v>0</v>
      </c>
      <c r="J40" s="44">
        <v>0</v>
      </c>
      <c r="K40" s="44">
        <v>0</v>
      </c>
      <c r="L40" s="44">
        <v>0</v>
      </c>
      <c r="M40" s="44">
        <v>0</v>
      </c>
      <c r="N40" s="44">
        <v>0</v>
      </c>
      <c r="O40" s="44">
        <v>0</v>
      </c>
      <c r="P40" s="44">
        <v>6</v>
      </c>
      <c r="Q40" s="44">
        <v>0</v>
      </c>
      <c r="R40" s="44">
        <v>0</v>
      </c>
      <c r="S40" s="44">
        <v>0</v>
      </c>
      <c r="T40" s="44">
        <v>0</v>
      </c>
      <c r="U40" s="44">
        <v>0</v>
      </c>
      <c r="V40" s="44">
        <v>6</v>
      </c>
      <c r="W40" s="39">
        <v>1</v>
      </c>
      <c r="X40"/>
    </row>
    <row r="41" spans="1:24" ht="15" x14ac:dyDescent="0.25">
      <c r="A41" s="40"/>
      <c r="B41" s="40"/>
      <c r="C41" s="40"/>
      <c r="D41" s="63" t="s">
        <v>301</v>
      </c>
      <c r="E41" s="64"/>
      <c r="F41" s="64"/>
      <c r="G41" s="65">
        <v>6</v>
      </c>
      <c r="H41" s="66">
        <v>0</v>
      </c>
      <c r="I41" s="66">
        <v>0</v>
      </c>
      <c r="J41" s="66">
        <v>0</v>
      </c>
      <c r="K41" s="66">
        <v>0</v>
      </c>
      <c r="L41" s="66">
        <v>0</v>
      </c>
      <c r="M41" s="66">
        <v>0</v>
      </c>
      <c r="N41" s="66">
        <v>0</v>
      </c>
      <c r="O41" s="66">
        <v>0</v>
      </c>
      <c r="P41" s="66">
        <v>6</v>
      </c>
      <c r="Q41" s="66">
        <v>0</v>
      </c>
      <c r="R41" s="66">
        <v>0</v>
      </c>
      <c r="S41" s="66">
        <v>0</v>
      </c>
      <c r="T41" s="66">
        <v>0</v>
      </c>
      <c r="U41" s="66">
        <v>0</v>
      </c>
      <c r="V41" s="66">
        <v>6</v>
      </c>
      <c r="W41" s="67">
        <v>1</v>
      </c>
      <c r="X41"/>
    </row>
    <row r="42" spans="1:24" ht="15" x14ac:dyDescent="0.25">
      <c r="A42" s="40"/>
      <c r="B42" s="35" t="s">
        <v>231</v>
      </c>
      <c r="C42" s="35">
        <v>54040</v>
      </c>
      <c r="D42" s="35" t="s">
        <v>214</v>
      </c>
      <c r="E42" s="35">
        <v>6086</v>
      </c>
      <c r="F42" s="35" t="s">
        <v>228</v>
      </c>
      <c r="G42" s="43">
        <v>6</v>
      </c>
      <c r="H42" s="44">
        <v>0</v>
      </c>
      <c r="I42" s="44">
        <v>0</v>
      </c>
      <c r="J42" s="44">
        <v>0</v>
      </c>
      <c r="K42" s="44">
        <v>0</v>
      </c>
      <c r="L42" s="44">
        <v>0</v>
      </c>
      <c r="M42" s="44">
        <v>0</v>
      </c>
      <c r="N42" s="44">
        <v>0</v>
      </c>
      <c r="O42" s="44">
        <v>0</v>
      </c>
      <c r="P42" s="44">
        <v>0</v>
      </c>
      <c r="Q42" s="44">
        <v>0</v>
      </c>
      <c r="R42" s="44">
        <v>6</v>
      </c>
      <c r="S42" s="44">
        <v>0</v>
      </c>
      <c r="T42" s="44">
        <v>0</v>
      </c>
      <c r="U42" s="44">
        <v>0</v>
      </c>
      <c r="V42" s="44">
        <v>6</v>
      </c>
      <c r="W42" s="39">
        <v>1</v>
      </c>
      <c r="X42"/>
    </row>
    <row r="43" spans="1:24" ht="15" x14ac:dyDescent="0.25">
      <c r="A43" s="40"/>
      <c r="B43" s="40"/>
      <c r="C43" s="40"/>
      <c r="D43" s="63" t="s">
        <v>301</v>
      </c>
      <c r="E43" s="64"/>
      <c r="F43" s="64"/>
      <c r="G43" s="65">
        <v>6</v>
      </c>
      <c r="H43" s="66">
        <v>0</v>
      </c>
      <c r="I43" s="66">
        <v>0</v>
      </c>
      <c r="J43" s="66">
        <v>0</v>
      </c>
      <c r="K43" s="66">
        <v>0</v>
      </c>
      <c r="L43" s="66">
        <v>0</v>
      </c>
      <c r="M43" s="66">
        <v>0</v>
      </c>
      <c r="N43" s="66">
        <v>0</v>
      </c>
      <c r="O43" s="66">
        <v>0</v>
      </c>
      <c r="P43" s="66">
        <v>0</v>
      </c>
      <c r="Q43" s="66">
        <v>0</v>
      </c>
      <c r="R43" s="66">
        <v>6</v>
      </c>
      <c r="S43" s="66">
        <v>0</v>
      </c>
      <c r="T43" s="66">
        <v>0</v>
      </c>
      <c r="U43" s="66">
        <v>0</v>
      </c>
      <c r="V43" s="66">
        <v>6</v>
      </c>
      <c r="W43" s="67">
        <v>1</v>
      </c>
      <c r="X43"/>
    </row>
    <row r="44" spans="1:24" ht="15" x14ac:dyDescent="0.25">
      <c r="A44" s="40"/>
      <c r="B44" s="35" t="s">
        <v>232</v>
      </c>
      <c r="C44" s="35">
        <v>54397</v>
      </c>
      <c r="D44" s="35" t="s">
        <v>214</v>
      </c>
      <c r="E44" s="35">
        <v>6086</v>
      </c>
      <c r="F44" s="35" t="s">
        <v>228</v>
      </c>
      <c r="G44" s="43">
        <v>6</v>
      </c>
      <c r="H44" s="44">
        <v>0</v>
      </c>
      <c r="I44" s="44">
        <v>0</v>
      </c>
      <c r="J44" s="44">
        <v>0</v>
      </c>
      <c r="K44" s="44">
        <v>0</v>
      </c>
      <c r="L44" s="44">
        <v>0</v>
      </c>
      <c r="M44" s="44">
        <v>0</v>
      </c>
      <c r="N44" s="44">
        <v>0</v>
      </c>
      <c r="O44" s="44">
        <v>0</v>
      </c>
      <c r="P44" s="44">
        <v>0</v>
      </c>
      <c r="Q44" s="44">
        <v>0</v>
      </c>
      <c r="R44" s="44">
        <v>0</v>
      </c>
      <c r="S44" s="44">
        <v>6</v>
      </c>
      <c r="T44" s="44">
        <v>0</v>
      </c>
      <c r="U44" s="44">
        <v>0</v>
      </c>
      <c r="V44" s="44">
        <v>6</v>
      </c>
      <c r="W44" s="39">
        <v>1</v>
      </c>
      <c r="X44"/>
    </row>
    <row r="45" spans="1:24" ht="15" x14ac:dyDescent="0.25">
      <c r="A45" s="40"/>
      <c r="B45" s="40"/>
      <c r="C45" s="40"/>
      <c r="D45" s="63" t="s">
        <v>301</v>
      </c>
      <c r="E45" s="64"/>
      <c r="F45" s="64"/>
      <c r="G45" s="65">
        <v>6</v>
      </c>
      <c r="H45" s="66">
        <v>0</v>
      </c>
      <c r="I45" s="66">
        <v>0</v>
      </c>
      <c r="J45" s="66">
        <v>0</v>
      </c>
      <c r="K45" s="66">
        <v>0</v>
      </c>
      <c r="L45" s="66">
        <v>0</v>
      </c>
      <c r="M45" s="66">
        <v>0</v>
      </c>
      <c r="N45" s="66">
        <v>0</v>
      </c>
      <c r="O45" s="66">
        <v>0</v>
      </c>
      <c r="P45" s="66">
        <v>0</v>
      </c>
      <c r="Q45" s="66">
        <v>0</v>
      </c>
      <c r="R45" s="66">
        <v>0</v>
      </c>
      <c r="S45" s="66">
        <v>6</v>
      </c>
      <c r="T45" s="66">
        <v>0</v>
      </c>
      <c r="U45" s="66">
        <v>0</v>
      </c>
      <c r="V45" s="66">
        <v>6</v>
      </c>
      <c r="W45" s="67">
        <v>1</v>
      </c>
      <c r="X45"/>
    </row>
    <row r="46" spans="1:24" ht="15" x14ac:dyDescent="0.25">
      <c r="A46" s="40"/>
      <c r="B46" s="35" t="s">
        <v>234</v>
      </c>
      <c r="C46" s="35">
        <v>53834</v>
      </c>
      <c r="D46" s="35" t="s">
        <v>233</v>
      </c>
      <c r="E46" s="35" t="s">
        <v>20</v>
      </c>
      <c r="F46" s="35" t="s">
        <v>228</v>
      </c>
      <c r="G46" s="43">
        <v>10</v>
      </c>
      <c r="H46" s="44">
        <v>0</v>
      </c>
      <c r="I46" s="44">
        <v>0</v>
      </c>
      <c r="J46" s="44">
        <v>0</v>
      </c>
      <c r="K46" s="44">
        <v>0</v>
      </c>
      <c r="L46" s="44">
        <v>0</v>
      </c>
      <c r="M46" s="44">
        <v>0</v>
      </c>
      <c r="N46" s="44">
        <v>0</v>
      </c>
      <c r="O46" s="44">
        <v>0</v>
      </c>
      <c r="P46" s="44">
        <v>0</v>
      </c>
      <c r="Q46" s="44">
        <v>10</v>
      </c>
      <c r="R46" s="44">
        <v>0</v>
      </c>
      <c r="S46" s="44">
        <v>0</v>
      </c>
      <c r="T46" s="44">
        <v>0</v>
      </c>
      <c r="U46" s="44">
        <v>0</v>
      </c>
      <c r="V46" s="44">
        <v>10</v>
      </c>
      <c r="W46" s="39">
        <v>1</v>
      </c>
      <c r="X46"/>
    </row>
    <row r="47" spans="1:24" ht="15" x14ac:dyDescent="0.25">
      <c r="A47" s="40"/>
      <c r="B47" s="40"/>
      <c r="C47" s="40"/>
      <c r="D47" s="63" t="s">
        <v>302</v>
      </c>
      <c r="E47" s="64"/>
      <c r="F47" s="64"/>
      <c r="G47" s="65">
        <v>10</v>
      </c>
      <c r="H47" s="66">
        <v>0</v>
      </c>
      <c r="I47" s="66">
        <v>0</v>
      </c>
      <c r="J47" s="66">
        <v>0</v>
      </c>
      <c r="K47" s="66">
        <v>0</v>
      </c>
      <c r="L47" s="66">
        <v>0</v>
      </c>
      <c r="M47" s="66">
        <v>0</v>
      </c>
      <c r="N47" s="66">
        <v>0</v>
      </c>
      <c r="O47" s="66">
        <v>0</v>
      </c>
      <c r="P47" s="66">
        <v>0</v>
      </c>
      <c r="Q47" s="66">
        <v>10</v>
      </c>
      <c r="R47" s="66">
        <v>0</v>
      </c>
      <c r="S47" s="66">
        <v>0</v>
      </c>
      <c r="T47" s="66">
        <v>0</v>
      </c>
      <c r="U47" s="66">
        <v>0</v>
      </c>
      <c r="V47" s="66">
        <v>10</v>
      </c>
      <c r="W47" s="67">
        <v>1</v>
      </c>
      <c r="X47"/>
    </row>
    <row r="48" spans="1:24" ht="15" x14ac:dyDescent="0.25">
      <c r="A48" s="47" t="s">
        <v>303</v>
      </c>
      <c r="B48" s="57"/>
      <c r="C48" s="57"/>
      <c r="D48" s="57"/>
      <c r="E48" s="57"/>
      <c r="F48" s="57"/>
      <c r="G48" s="58">
        <v>34</v>
      </c>
      <c r="H48" s="59">
        <v>0</v>
      </c>
      <c r="I48" s="59">
        <v>0</v>
      </c>
      <c r="J48" s="59">
        <v>0</v>
      </c>
      <c r="K48" s="59">
        <v>0</v>
      </c>
      <c r="L48" s="59">
        <v>0</v>
      </c>
      <c r="M48" s="59">
        <v>0</v>
      </c>
      <c r="N48" s="59">
        <v>0</v>
      </c>
      <c r="O48" s="59">
        <v>6</v>
      </c>
      <c r="P48" s="59">
        <v>6</v>
      </c>
      <c r="Q48" s="59">
        <v>10</v>
      </c>
      <c r="R48" s="59">
        <v>6</v>
      </c>
      <c r="S48" s="59">
        <v>6</v>
      </c>
      <c r="T48" s="59">
        <v>0</v>
      </c>
      <c r="U48" s="59">
        <v>0</v>
      </c>
      <c r="V48" s="59">
        <v>34</v>
      </c>
      <c r="W48" s="60">
        <v>1</v>
      </c>
      <c r="X48"/>
    </row>
    <row r="49" spans="1:24" ht="15" x14ac:dyDescent="0.25">
      <c r="A49" s="35" t="s">
        <v>199</v>
      </c>
      <c r="B49" s="35" t="s">
        <v>201</v>
      </c>
      <c r="C49" s="35">
        <v>53835</v>
      </c>
      <c r="D49" s="35" t="s">
        <v>200</v>
      </c>
      <c r="E49" s="35">
        <v>6013</v>
      </c>
      <c r="F49" s="35" t="s">
        <v>199</v>
      </c>
      <c r="G49" s="43">
        <v>2</v>
      </c>
      <c r="H49" s="44">
        <v>0</v>
      </c>
      <c r="I49" s="44">
        <v>0</v>
      </c>
      <c r="J49" s="44">
        <v>0</v>
      </c>
      <c r="K49" s="44">
        <v>0</v>
      </c>
      <c r="L49" s="44">
        <v>0</v>
      </c>
      <c r="M49" s="44">
        <v>0</v>
      </c>
      <c r="N49" s="44">
        <v>0</v>
      </c>
      <c r="O49" s="44">
        <v>0</v>
      </c>
      <c r="P49" s="44">
        <v>0</v>
      </c>
      <c r="Q49" s="44">
        <v>2</v>
      </c>
      <c r="R49" s="44">
        <v>0</v>
      </c>
      <c r="S49" s="44">
        <v>0</v>
      </c>
      <c r="T49" s="44">
        <v>0</v>
      </c>
      <c r="U49" s="44">
        <v>0</v>
      </c>
      <c r="V49" s="44">
        <v>2</v>
      </c>
      <c r="W49" s="39">
        <v>1</v>
      </c>
      <c r="X49"/>
    </row>
    <row r="50" spans="1:24" ht="15" x14ac:dyDescent="0.25">
      <c r="A50" s="40"/>
      <c r="B50" s="40"/>
      <c r="C50" s="40"/>
      <c r="D50" s="63" t="s">
        <v>304</v>
      </c>
      <c r="E50" s="64"/>
      <c r="F50" s="64"/>
      <c r="G50" s="65">
        <v>2</v>
      </c>
      <c r="H50" s="66">
        <v>0</v>
      </c>
      <c r="I50" s="66">
        <v>0</v>
      </c>
      <c r="J50" s="66">
        <v>0</v>
      </c>
      <c r="K50" s="66">
        <v>0</v>
      </c>
      <c r="L50" s="66">
        <v>0</v>
      </c>
      <c r="M50" s="66">
        <v>0</v>
      </c>
      <c r="N50" s="66">
        <v>0</v>
      </c>
      <c r="O50" s="66">
        <v>0</v>
      </c>
      <c r="P50" s="66">
        <v>0</v>
      </c>
      <c r="Q50" s="66">
        <v>2</v>
      </c>
      <c r="R50" s="66">
        <v>0</v>
      </c>
      <c r="S50" s="66">
        <v>0</v>
      </c>
      <c r="T50" s="66">
        <v>0</v>
      </c>
      <c r="U50" s="66">
        <v>0</v>
      </c>
      <c r="V50" s="66">
        <v>2</v>
      </c>
      <c r="W50" s="67">
        <v>1</v>
      </c>
      <c r="X50"/>
    </row>
    <row r="51" spans="1:24" ht="15" x14ac:dyDescent="0.25">
      <c r="A51" s="40"/>
      <c r="B51" s="35" t="s">
        <v>203</v>
      </c>
      <c r="C51" s="35" t="s">
        <v>202</v>
      </c>
      <c r="D51" s="35" t="s">
        <v>200</v>
      </c>
      <c r="E51" s="35">
        <v>6013</v>
      </c>
      <c r="F51" s="35" t="s">
        <v>199</v>
      </c>
      <c r="G51" s="43">
        <v>12</v>
      </c>
      <c r="H51" s="44">
        <v>0</v>
      </c>
      <c r="I51" s="44">
        <v>0</v>
      </c>
      <c r="J51" s="44">
        <v>0</v>
      </c>
      <c r="K51" s="44">
        <v>0</v>
      </c>
      <c r="L51" s="44">
        <v>0</v>
      </c>
      <c r="M51" s="44">
        <v>0</v>
      </c>
      <c r="N51" s="44">
        <v>0</v>
      </c>
      <c r="O51" s="44">
        <v>0</v>
      </c>
      <c r="P51" s="44">
        <v>0</v>
      </c>
      <c r="Q51" s="44">
        <v>0</v>
      </c>
      <c r="R51" s="44">
        <v>12</v>
      </c>
      <c r="S51" s="44">
        <v>0</v>
      </c>
      <c r="T51" s="44">
        <v>0</v>
      </c>
      <c r="U51" s="44">
        <v>0</v>
      </c>
      <c r="V51" s="44">
        <v>12</v>
      </c>
      <c r="W51" s="39">
        <v>1</v>
      </c>
      <c r="X51"/>
    </row>
    <row r="52" spans="1:24" ht="15" x14ac:dyDescent="0.25">
      <c r="A52" s="40"/>
      <c r="B52" s="40"/>
      <c r="C52" s="40"/>
      <c r="D52" s="63" t="s">
        <v>304</v>
      </c>
      <c r="E52" s="64"/>
      <c r="F52" s="64"/>
      <c r="G52" s="65">
        <v>12</v>
      </c>
      <c r="H52" s="66">
        <v>0</v>
      </c>
      <c r="I52" s="66">
        <v>0</v>
      </c>
      <c r="J52" s="66">
        <v>0</v>
      </c>
      <c r="K52" s="66">
        <v>0</v>
      </c>
      <c r="L52" s="66">
        <v>0</v>
      </c>
      <c r="M52" s="66">
        <v>0</v>
      </c>
      <c r="N52" s="66">
        <v>0</v>
      </c>
      <c r="O52" s="66">
        <v>0</v>
      </c>
      <c r="P52" s="66">
        <v>0</v>
      </c>
      <c r="Q52" s="66">
        <v>0</v>
      </c>
      <c r="R52" s="66">
        <v>12</v>
      </c>
      <c r="S52" s="66">
        <v>0</v>
      </c>
      <c r="T52" s="66">
        <v>0</v>
      </c>
      <c r="U52" s="66">
        <v>0</v>
      </c>
      <c r="V52" s="66">
        <v>12</v>
      </c>
      <c r="W52" s="67">
        <v>1</v>
      </c>
      <c r="X52"/>
    </row>
    <row r="53" spans="1:24" ht="15" x14ac:dyDescent="0.25">
      <c r="A53" s="47" t="s">
        <v>305</v>
      </c>
      <c r="B53" s="57"/>
      <c r="C53" s="57"/>
      <c r="D53" s="57"/>
      <c r="E53" s="57"/>
      <c r="F53" s="57"/>
      <c r="G53" s="58">
        <v>14</v>
      </c>
      <c r="H53" s="59">
        <v>0</v>
      </c>
      <c r="I53" s="59">
        <v>0</v>
      </c>
      <c r="J53" s="59">
        <v>0</v>
      </c>
      <c r="K53" s="59">
        <v>0</v>
      </c>
      <c r="L53" s="59">
        <v>0</v>
      </c>
      <c r="M53" s="59">
        <v>0</v>
      </c>
      <c r="N53" s="59">
        <v>0</v>
      </c>
      <c r="O53" s="59">
        <v>0</v>
      </c>
      <c r="P53" s="59">
        <v>0</v>
      </c>
      <c r="Q53" s="59">
        <v>2</v>
      </c>
      <c r="R53" s="59">
        <v>12</v>
      </c>
      <c r="S53" s="59">
        <v>0</v>
      </c>
      <c r="T53" s="59">
        <v>0</v>
      </c>
      <c r="U53" s="59">
        <v>0</v>
      </c>
      <c r="V53" s="59">
        <v>14</v>
      </c>
      <c r="W53" s="60">
        <v>1</v>
      </c>
      <c r="X53"/>
    </row>
    <row r="54" spans="1:24" ht="15" x14ac:dyDescent="0.25">
      <c r="A54" s="35" t="s">
        <v>121</v>
      </c>
      <c r="B54" s="35" t="s">
        <v>205</v>
      </c>
      <c r="C54" s="35">
        <v>52292</v>
      </c>
      <c r="D54" s="35" t="s">
        <v>187</v>
      </c>
      <c r="E54" s="35">
        <v>5627</v>
      </c>
      <c r="F54" s="35" t="s">
        <v>121</v>
      </c>
      <c r="G54" s="43">
        <v>6</v>
      </c>
      <c r="H54" s="44">
        <v>0</v>
      </c>
      <c r="I54" s="44">
        <v>0</v>
      </c>
      <c r="J54" s="44">
        <v>0</v>
      </c>
      <c r="K54" s="44">
        <v>0</v>
      </c>
      <c r="L54" s="44">
        <v>6</v>
      </c>
      <c r="M54" s="44">
        <v>0</v>
      </c>
      <c r="N54" s="44">
        <v>0</v>
      </c>
      <c r="O54" s="44">
        <v>0</v>
      </c>
      <c r="P54" s="44">
        <v>0</v>
      </c>
      <c r="Q54" s="44">
        <v>0</v>
      </c>
      <c r="R54" s="44">
        <v>0</v>
      </c>
      <c r="S54" s="44">
        <v>0</v>
      </c>
      <c r="T54" s="44">
        <v>0</v>
      </c>
      <c r="U54" s="44">
        <v>0</v>
      </c>
      <c r="V54" s="44">
        <v>6</v>
      </c>
      <c r="W54" s="39">
        <v>1</v>
      </c>
      <c r="X54"/>
    </row>
    <row r="55" spans="1:24" ht="15" x14ac:dyDescent="0.25">
      <c r="A55" s="40"/>
      <c r="B55" s="40"/>
      <c r="C55" s="40"/>
      <c r="D55" s="63" t="s">
        <v>293</v>
      </c>
      <c r="E55" s="64"/>
      <c r="F55" s="64"/>
      <c r="G55" s="65">
        <v>6</v>
      </c>
      <c r="H55" s="66">
        <v>0</v>
      </c>
      <c r="I55" s="66">
        <v>0</v>
      </c>
      <c r="J55" s="66">
        <v>0</v>
      </c>
      <c r="K55" s="66">
        <v>0</v>
      </c>
      <c r="L55" s="66">
        <v>6</v>
      </c>
      <c r="M55" s="66">
        <v>0</v>
      </c>
      <c r="N55" s="66">
        <v>0</v>
      </c>
      <c r="O55" s="66">
        <v>0</v>
      </c>
      <c r="P55" s="66">
        <v>0</v>
      </c>
      <c r="Q55" s="66">
        <v>0</v>
      </c>
      <c r="R55" s="66">
        <v>0</v>
      </c>
      <c r="S55" s="66">
        <v>0</v>
      </c>
      <c r="T55" s="66">
        <v>0</v>
      </c>
      <c r="U55" s="66">
        <v>0</v>
      </c>
      <c r="V55" s="66">
        <v>6</v>
      </c>
      <c r="W55" s="67">
        <v>1</v>
      </c>
      <c r="X55"/>
    </row>
    <row r="56" spans="1:24" ht="15" x14ac:dyDescent="0.25">
      <c r="A56" s="40"/>
      <c r="B56" s="40"/>
      <c r="C56" s="40"/>
      <c r="D56" s="35" t="s">
        <v>204</v>
      </c>
      <c r="E56" s="35">
        <v>5626</v>
      </c>
      <c r="F56" s="35" t="s">
        <v>121</v>
      </c>
      <c r="G56" s="43">
        <v>2</v>
      </c>
      <c r="H56" s="44">
        <v>0</v>
      </c>
      <c r="I56" s="44">
        <v>0</v>
      </c>
      <c r="J56" s="44">
        <v>0</v>
      </c>
      <c r="K56" s="44">
        <v>0</v>
      </c>
      <c r="L56" s="44">
        <v>2</v>
      </c>
      <c r="M56" s="44">
        <v>0</v>
      </c>
      <c r="N56" s="44">
        <v>0</v>
      </c>
      <c r="O56" s="44">
        <v>0</v>
      </c>
      <c r="P56" s="44">
        <v>0</v>
      </c>
      <c r="Q56" s="44">
        <v>0</v>
      </c>
      <c r="R56" s="44">
        <v>0</v>
      </c>
      <c r="S56" s="44">
        <v>0</v>
      </c>
      <c r="T56" s="44">
        <v>0</v>
      </c>
      <c r="U56" s="44">
        <v>0</v>
      </c>
      <c r="V56" s="44">
        <v>2</v>
      </c>
      <c r="W56" s="39">
        <v>1</v>
      </c>
      <c r="X56"/>
    </row>
    <row r="57" spans="1:24" ht="15" x14ac:dyDescent="0.25">
      <c r="A57" s="40"/>
      <c r="B57" s="40"/>
      <c r="C57" s="40"/>
      <c r="D57" s="63" t="s">
        <v>306</v>
      </c>
      <c r="E57" s="64"/>
      <c r="F57" s="64"/>
      <c r="G57" s="65">
        <v>2</v>
      </c>
      <c r="H57" s="66">
        <v>0</v>
      </c>
      <c r="I57" s="66">
        <v>0</v>
      </c>
      <c r="J57" s="66">
        <v>0</v>
      </c>
      <c r="K57" s="66">
        <v>0</v>
      </c>
      <c r="L57" s="66">
        <v>2</v>
      </c>
      <c r="M57" s="66">
        <v>0</v>
      </c>
      <c r="N57" s="66">
        <v>0</v>
      </c>
      <c r="O57" s="66">
        <v>0</v>
      </c>
      <c r="P57" s="66">
        <v>0</v>
      </c>
      <c r="Q57" s="66">
        <v>0</v>
      </c>
      <c r="R57" s="66">
        <v>0</v>
      </c>
      <c r="S57" s="66">
        <v>0</v>
      </c>
      <c r="T57" s="66">
        <v>0</v>
      </c>
      <c r="U57" s="66">
        <v>0</v>
      </c>
      <c r="V57" s="66">
        <v>2</v>
      </c>
      <c r="W57" s="67">
        <v>1</v>
      </c>
      <c r="X57"/>
    </row>
    <row r="58" spans="1:24" ht="15" x14ac:dyDescent="0.25">
      <c r="A58" s="40"/>
      <c r="B58" s="35" t="s">
        <v>135</v>
      </c>
      <c r="C58" s="35">
        <v>52327</v>
      </c>
      <c r="D58" s="35" t="s">
        <v>187</v>
      </c>
      <c r="E58" s="35">
        <v>5627</v>
      </c>
      <c r="F58" s="35" t="s">
        <v>121</v>
      </c>
      <c r="G58" s="43">
        <v>21</v>
      </c>
      <c r="H58" s="44">
        <v>0</v>
      </c>
      <c r="I58" s="44">
        <v>0</v>
      </c>
      <c r="J58" s="44">
        <v>0</v>
      </c>
      <c r="K58" s="44">
        <v>0</v>
      </c>
      <c r="L58" s="44">
        <v>21</v>
      </c>
      <c r="M58" s="44">
        <v>0</v>
      </c>
      <c r="N58" s="44">
        <v>0</v>
      </c>
      <c r="O58" s="44">
        <v>0</v>
      </c>
      <c r="P58" s="44">
        <v>0</v>
      </c>
      <c r="Q58" s="44">
        <v>0</v>
      </c>
      <c r="R58" s="44">
        <v>0</v>
      </c>
      <c r="S58" s="44">
        <v>0</v>
      </c>
      <c r="T58" s="44">
        <v>0</v>
      </c>
      <c r="U58" s="44">
        <v>0</v>
      </c>
      <c r="V58" s="44">
        <v>21</v>
      </c>
      <c r="W58" s="39">
        <v>1</v>
      </c>
      <c r="X58"/>
    </row>
    <row r="59" spans="1:24" ht="15" x14ac:dyDescent="0.25">
      <c r="A59" s="40"/>
      <c r="B59" s="40"/>
      <c r="C59" s="40"/>
      <c r="D59" s="63" t="s">
        <v>293</v>
      </c>
      <c r="E59" s="64"/>
      <c r="F59" s="64"/>
      <c r="G59" s="65">
        <v>21</v>
      </c>
      <c r="H59" s="66">
        <v>0</v>
      </c>
      <c r="I59" s="66">
        <v>0</v>
      </c>
      <c r="J59" s="66">
        <v>0</v>
      </c>
      <c r="K59" s="66">
        <v>0</v>
      </c>
      <c r="L59" s="66">
        <v>21</v>
      </c>
      <c r="M59" s="66">
        <v>0</v>
      </c>
      <c r="N59" s="66">
        <v>0</v>
      </c>
      <c r="O59" s="66">
        <v>0</v>
      </c>
      <c r="P59" s="66">
        <v>0</v>
      </c>
      <c r="Q59" s="66">
        <v>0</v>
      </c>
      <c r="R59" s="66">
        <v>0</v>
      </c>
      <c r="S59" s="66">
        <v>0</v>
      </c>
      <c r="T59" s="66">
        <v>0</v>
      </c>
      <c r="U59" s="66">
        <v>0</v>
      </c>
      <c r="V59" s="66">
        <v>21</v>
      </c>
      <c r="W59" s="67">
        <v>1</v>
      </c>
      <c r="X59"/>
    </row>
    <row r="60" spans="1:24" ht="15" x14ac:dyDescent="0.25">
      <c r="A60" s="40"/>
      <c r="B60" s="40"/>
      <c r="C60" s="40"/>
      <c r="D60" s="35" t="s">
        <v>204</v>
      </c>
      <c r="E60" s="35">
        <v>5626</v>
      </c>
      <c r="F60" s="35" t="s">
        <v>121</v>
      </c>
      <c r="G60" s="43">
        <v>1</v>
      </c>
      <c r="H60" s="44">
        <v>0</v>
      </c>
      <c r="I60" s="44">
        <v>0</v>
      </c>
      <c r="J60" s="44">
        <v>0</v>
      </c>
      <c r="K60" s="44">
        <v>0</v>
      </c>
      <c r="L60" s="44">
        <v>1</v>
      </c>
      <c r="M60" s="44">
        <v>0</v>
      </c>
      <c r="N60" s="44">
        <v>0</v>
      </c>
      <c r="O60" s="44">
        <v>0</v>
      </c>
      <c r="P60" s="44">
        <v>0</v>
      </c>
      <c r="Q60" s="44">
        <v>0</v>
      </c>
      <c r="R60" s="44">
        <v>0</v>
      </c>
      <c r="S60" s="44">
        <v>0</v>
      </c>
      <c r="T60" s="44">
        <v>0</v>
      </c>
      <c r="U60" s="44">
        <v>0</v>
      </c>
      <c r="V60" s="44">
        <v>1</v>
      </c>
      <c r="W60" s="39">
        <v>1</v>
      </c>
      <c r="X60"/>
    </row>
    <row r="61" spans="1:24" ht="15" x14ac:dyDescent="0.25">
      <c r="A61" s="40"/>
      <c r="B61" s="40"/>
      <c r="C61" s="40"/>
      <c r="D61" s="63" t="s">
        <v>306</v>
      </c>
      <c r="E61" s="64"/>
      <c r="F61" s="64"/>
      <c r="G61" s="65">
        <v>1</v>
      </c>
      <c r="H61" s="66">
        <v>0</v>
      </c>
      <c r="I61" s="66">
        <v>0</v>
      </c>
      <c r="J61" s="66">
        <v>0</v>
      </c>
      <c r="K61" s="66">
        <v>0</v>
      </c>
      <c r="L61" s="66">
        <v>1</v>
      </c>
      <c r="M61" s="66">
        <v>0</v>
      </c>
      <c r="N61" s="66">
        <v>0</v>
      </c>
      <c r="O61" s="66">
        <v>0</v>
      </c>
      <c r="P61" s="66">
        <v>0</v>
      </c>
      <c r="Q61" s="66">
        <v>0</v>
      </c>
      <c r="R61" s="66">
        <v>0</v>
      </c>
      <c r="S61" s="66">
        <v>0</v>
      </c>
      <c r="T61" s="66">
        <v>0</v>
      </c>
      <c r="U61" s="66">
        <v>0</v>
      </c>
      <c r="V61" s="66">
        <v>1</v>
      </c>
      <c r="W61" s="67">
        <v>1</v>
      </c>
      <c r="X61"/>
    </row>
    <row r="62" spans="1:24" ht="15" x14ac:dyDescent="0.25">
      <c r="A62" s="40"/>
      <c r="B62" s="35" t="s">
        <v>206</v>
      </c>
      <c r="C62" s="35">
        <v>52696</v>
      </c>
      <c r="D62" s="35" t="s">
        <v>187</v>
      </c>
      <c r="E62" s="35">
        <v>5627</v>
      </c>
      <c r="F62" s="35" t="s">
        <v>121</v>
      </c>
      <c r="G62" s="43">
        <v>6</v>
      </c>
      <c r="H62" s="44">
        <v>0</v>
      </c>
      <c r="I62" s="44">
        <v>0</v>
      </c>
      <c r="J62" s="44">
        <v>0</v>
      </c>
      <c r="K62" s="44">
        <v>0</v>
      </c>
      <c r="L62" s="44">
        <v>0</v>
      </c>
      <c r="M62" s="44">
        <v>6</v>
      </c>
      <c r="N62" s="44">
        <v>0</v>
      </c>
      <c r="O62" s="44">
        <v>0</v>
      </c>
      <c r="P62" s="44">
        <v>0</v>
      </c>
      <c r="Q62" s="44">
        <v>0</v>
      </c>
      <c r="R62" s="44">
        <v>0</v>
      </c>
      <c r="S62" s="44">
        <v>0</v>
      </c>
      <c r="T62" s="44">
        <v>0</v>
      </c>
      <c r="U62" s="44">
        <v>0</v>
      </c>
      <c r="V62" s="44">
        <v>6</v>
      </c>
      <c r="W62" s="39">
        <v>1</v>
      </c>
      <c r="X62"/>
    </row>
    <row r="63" spans="1:24" ht="15" x14ac:dyDescent="0.25">
      <c r="A63" s="40"/>
      <c r="B63" s="40"/>
      <c r="C63" s="40"/>
      <c r="D63" s="63" t="s">
        <v>293</v>
      </c>
      <c r="E63" s="64"/>
      <c r="F63" s="64"/>
      <c r="G63" s="65">
        <v>6</v>
      </c>
      <c r="H63" s="66">
        <v>0</v>
      </c>
      <c r="I63" s="66">
        <v>0</v>
      </c>
      <c r="J63" s="66">
        <v>0</v>
      </c>
      <c r="K63" s="66">
        <v>0</v>
      </c>
      <c r="L63" s="66">
        <v>0</v>
      </c>
      <c r="M63" s="66">
        <v>6</v>
      </c>
      <c r="N63" s="66">
        <v>0</v>
      </c>
      <c r="O63" s="66">
        <v>0</v>
      </c>
      <c r="P63" s="66">
        <v>0</v>
      </c>
      <c r="Q63" s="66">
        <v>0</v>
      </c>
      <c r="R63" s="66">
        <v>0</v>
      </c>
      <c r="S63" s="66">
        <v>0</v>
      </c>
      <c r="T63" s="66">
        <v>0</v>
      </c>
      <c r="U63" s="66">
        <v>0</v>
      </c>
      <c r="V63" s="66">
        <v>6</v>
      </c>
      <c r="W63" s="67">
        <v>1</v>
      </c>
      <c r="X63"/>
    </row>
    <row r="64" spans="1:24" ht="15" x14ac:dyDescent="0.25">
      <c r="A64" s="40"/>
      <c r="B64" s="40"/>
      <c r="C64" s="40"/>
      <c r="D64" s="35" t="s">
        <v>204</v>
      </c>
      <c r="E64" s="35">
        <v>5626</v>
      </c>
      <c r="F64" s="35" t="s">
        <v>121</v>
      </c>
      <c r="G64" s="43">
        <v>10</v>
      </c>
      <c r="H64" s="44">
        <v>0</v>
      </c>
      <c r="I64" s="44">
        <v>0</v>
      </c>
      <c r="J64" s="44">
        <v>0</v>
      </c>
      <c r="K64" s="44">
        <v>0</v>
      </c>
      <c r="L64" s="44">
        <v>0</v>
      </c>
      <c r="M64" s="44">
        <v>10</v>
      </c>
      <c r="N64" s="44">
        <v>0</v>
      </c>
      <c r="O64" s="44">
        <v>0</v>
      </c>
      <c r="P64" s="44">
        <v>0</v>
      </c>
      <c r="Q64" s="44">
        <v>0</v>
      </c>
      <c r="R64" s="44">
        <v>0</v>
      </c>
      <c r="S64" s="44">
        <v>0</v>
      </c>
      <c r="T64" s="44">
        <v>0</v>
      </c>
      <c r="U64" s="44">
        <v>0</v>
      </c>
      <c r="V64" s="44">
        <v>10</v>
      </c>
      <c r="W64" s="39">
        <v>1</v>
      </c>
      <c r="X64"/>
    </row>
    <row r="65" spans="1:24" ht="15" x14ac:dyDescent="0.25">
      <c r="A65" s="40"/>
      <c r="B65" s="40"/>
      <c r="C65" s="40"/>
      <c r="D65" s="63" t="s">
        <v>306</v>
      </c>
      <c r="E65" s="64"/>
      <c r="F65" s="64"/>
      <c r="G65" s="65">
        <v>10</v>
      </c>
      <c r="H65" s="66">
        <v>0</v>
      </c>
      <c r="I65" s="66">
        <v>0</v>
      </c>
      <c r="J65" s="66">
        <v>0</v>
      </c>
      <c r="K65" s="66">
        <v>0</v>
      </c>
      <c r="L65" s="66">
        <v>0</v>
      </c>
      <c r="M65" s="66">
        <v>10</v>
      </c>
      <c r="N65" s="66">
        <v>0</v>
      </c>
      <c r="O65" s="66">
        <v>0</v>
      </c>
      <c r="P65" s="66">
        <v>0</v>
      </c>
      <c r="Q65" s="66">
        <v>0</v>
      </c>
      <c r="R65" s="66">
        <v>0</v>
      </c>
      <c r="S65" s="66">
        <v>0</v>
      </c>
      <c r="T65" s="66">
        <v>0</v>
      </c>
      <c r="U65" s="66">
        <v>0</v>
      </c>
      <c r="V65" s="66">
        <v>10</v>
      </c>
      <c r="W65" s="67">
        <v>1</v>
      </c>
      <c r="X65"/>
    </row>
    <row r="66" spans="1:24" ht="15" x14ac:dyDescent="0.25">
      <c r="A66" s="40"/>
      <c r="B66" s="35" t="s">
        <v>207</v>
      </c>
      <c r="C66" s="35">
        <v>52771</v>
      </c>
      <c r="D66" s="35" t="s">
        <v>187</v>
      </c>
      <c r="E66" s="35">
        <v>5627</v>
      </c>
      <c r="F66" s="35" t="s">
        <v>121</v>
      </c>
      <c r="G66" s="43">
        <v>3</v>
      </c>
      <c r="H66" s="44">
        <v>0</v>
      </c>
      <c r="I66" s="44">
        <v>0</v>
      </c>
      <c r="J66" s="44">
        <v>0</v>
      </c>
      <c r="K66" s="44">
        <v>0</v>
      </c>
      <c r="L66" s="44">
        <v>0</v>
      </c>
      <c r="M66" s="44">
        <v>3</v>
      </c>
      <c r="N66" s="44">
        <v>0</v>
      </c>
      <c r="O66" s="44">
        <v>0</v>
      </c>
      <c r="P66" s="44">
        <v>0</v>
      </c>
      <c r="Q66" s="44">
        <v>0</v>
      </c>
      <c r="R66" s="44">
        <v>0</v>
      </c>
      <c r="S66" s="44">
        <v>0</v>
      </c>
      <c r="T66" s="44">
        <v>0</v>
      </c>
      <c r="U66" s="44">
        <v>0</v>
      </c>
      <c r="V66" s="44">
        <v>3</v>
      </c>
      <c r="W66" s="39">
        <v>1</v>
      </c>
      <c r="X66"/>
    </row>
    <row r="67" spans="1:24" ht="15" x14ac:dyDescent="0.25">
      <c r="A67" s="40"/>
      <c r="B67" s="40"/>
      <c r="C67" s="40"/>
      <c r="D67" s="63" t="s">
        <v>293</v>
      </c>
      <c r="E67" s="64"/>
      <c r="F67" s="64"/>
      <c r="G67" s="65">
        <v>3</v>
      </c>
      <c r="H67" s="66">
        <v>0</v>
      </c>
      <c r="I67" s="66">
        <v>0</v>
      </c>
      <c r="J67" s="66">
        <v>0</v>
      </c>
      <c r="K67" s="66">
        <v>0</v>
      </c>
      <c r="L67" s="66">
        <v>0</v>
      </c>
      <c r="M67" s="66">
        <v>3</v>
      </c>
      <c r="N67" s="66">
        <v>0</v>
      </c>
      <c r="O67" s="66">
        <v>0</v>
      </c>
      <c r="P67" s="66">
        <v>0</v>
      </c>
      <c r="Q67" s="66">
        <v>0</v>
      </c>
      <c r="R67" s="66">
        <v>0</v>
      </c>
      <c r="S67" s="66">
        <v>0</v>
      </c>
      <c r="T67" s="66">
        <v>0</v>
      </c>
      <c r="U67" s="66">
        <v>0</v>
      </c>
      <c r="V67" s="66">
        <v>3</v>
      </c>
      <c r="W67" s="67">
        <v>1</v>
      </c>
      <c r="X67"/>
    </row>
    <row r="68" spans="1:24" ht="15" x14ac:dyDescent="0.25">
      <c r="A68" s="40"/>
      <c r="B68" s="40"/>
      <c r="C68" s="40"/>
      <c r="D68" s="35" t="s">
        <v>204</v>
      </c>
      <c r="E68" s="35">
        <v>5626</v>
      </c>
      <c r="F68" s="35" t="s">
        <v>121</v>
      </c>
      <c r="G68" s="43">
        <v>3</v>
      </c>
      <c r="H68" s="44">
        <v>0</v>
      </c>
      <c r="I68" s="44">
        <v>0</v>
      </c>
      <c r="J68" s="44">
        <v>0</v>
      </c>
      <c r="K68" s="44">
        <v>0</v>
      </c>
      <c r="L68" s="44">
        <v>0</v>
      </c>
      <c r="M68" s="44">
        <v>3</v>
      </c>
      <c r="N68" s="44">
        <v>0</v>
      </c>
      <c r="O68" s="44">
        <v>0</v>
      </c>
      <c r="P68" s="44">
        <v>0</v>
      </c>
      <c r="Q68" s="44">
        <v>0</v>
      </c>
      <c r="R68" s="44">
        <v>0</v>
      </c>
      <c r="S68" s="44">
        <v>0</v>
      </c>
      <c r="T68" s="44">
        <v>0</v>
      </c>
      <c r="U68" s="44">
        <v>0</v>
      </c>
      <c r="V68" s="44">
        <v>3</v>
      </c>
      <c r="W68" s="39">
        <v>1</v>
      </c>
      <c r="X68"/>
    </row>
    <row r="69" spans="1:24" ht="15" x14ac:dyDescent="0.25">
      <c r="A69" s="40"/>
      <c r="B69" s="40"/>
      <c r="C69" s="40"/>
      <c r="D69" s="63" t="s">
        <v>306</v>
      </c>
      <c r="E69" s="64"/>
      <c r="F69" s="64"/>
      <c r="G69" s="65">
        <v>3</v>
      </c>
      <c r="H69" s="66">
        <v>0</v>
      </c>
      <c r="I69" s="66">
        <v>0</v>
      </c>
      <c r="J69" s="66">
        <v>0</v>
      </c>
      <c r="K69" s="66">
        <v>0</v>
      </c>
      <c r="L69" s="66">
        <v>0</v>
      </c>
      <c r="M69" s="66">
        <v>3</v>
      </c>
      <c r="N69" s="66">
        <v>0</v>
      </c>
      <c r="O69" s="66">
        <v>0</v>
      </c>
      <c r="P69" s="66">
        <v>0</v>
      </c>
      <c r="Q69" s="66">
        <v>0</v>
      </c>
      <c r="R69" s="66">
        <v>0</v>
      </c>
      <c r="S69" s="66">
        <v>0</v>
      </c>
      <c r="T69" s="66">
        <v>0</v>
      </c>
      <c r="U69" s="66">
        <v>0</v>
      </c>
      <c r="V69" s="66">
        <v>3</v>
      </c>
      <c r="W69" s="67">
        <v>1</v>
      </c>
      <c r="X69"/>
    </row>
    <row r="70" spans="1:24" ht="15" x14ac:dyDescent="0.25">
      <c r="A70" s="40"/>
      <c r="B70" s="35" t="s">
        <v>208</v>
      </c>
      <c r="C70" s="35">
        <v>52963</v>
      </c>
      <c r="D70" s="35" t="s">
        <v>187</v>
      </c>
      <c r="E70" s="35">
        <v>5627</v>
      </c>
      <c r="F70" s="35" t="s">
        <v>121</v>
      </c>
      <c r="G70" s="43">
        <v>12</v>
      </c>
      <c r="H70" s="44">
        <v>0</v>
      </c>
      <c r="I70" s="44">
        <v>0</v>
      </c>
      <c r="J70" s="44">
        <v>0</v>
      </c>
      <c r="K70" s="44">
        <v>0</v>
      </c>
      <c r="L70" s="44">
        <v>0</v>
      </c>
      <c r="M70" s="44">
        <v>0</v>
      </c>
      <c r="N70" s="44">
        <v>12</v>
      </c>
      <c r="O70" s="44">
        <v>0</v>
      </c>
      <c r="P70" s="44">
        <v>0</v>
      </c>
      <c r="Q70" s="44">
        <v>0</v>
      </c>
      <c r="R70" s="44">
        <v>0</v>
      </c>
      <c r="S70" s="44">
        <v>0</v>
      </c>
      <c r="T70" s="44">
        <v>0</v>
      </c>
      <c r="U70" s="44">
        <v>0</v>
      </c>
      <c r="V70" s="44">
        <v>12</v>
      </c>
      <c r="W70" s="39">
        <v>1</v>
      </c>
      <c r="X70"/>
    </row>
    <row r="71" spans="1:24" ht="15" x14ac:dyDescent="0.25">
      <c r="A71" s="40"/>
      <c r="B71" s="40"/>
      <c r="C71" s="40"/>
      <c r="D71" s="63" t="s">
        <v>293</v>
      </c>
      <c r="E71" s="64"/>
      <c r="F71" s="64"/>
      <c r="G71" s="65">
        <v>12</v>
      </c>
      <c r="H71" s="66">
        <v>0</v>
      </c>
      <c r="I71" s="66">
        <v>0</v>
      </c>
      <c r="J71" s="66">
        <v>0</v>
      </c>
      <c r="K71" s="66">
        <v>0</v>
      </c>
      <c r="L71" s="66">
        <v>0</v>
      </c>
      <c r="M71" s="66">
        <v>0</v>
      </c>
      <c r="N71" s="66">
        <v>12</v>
      </c>
      <c r="O71" s="66">
        <v>0</v>
      </c>
      <c r="P71" s="66">
        <v>0</v>
      </c>
      <c r="Q71" s="66">
        <v>0</v>
      </c>
      <c r="R71" s="66">
        <v>0</v>
      </c>
      <c r="S71" s="66">
        <v>0</v>
      </c>
      <c r="T71" s="66">
        <v>0</v>
      </c>
      <c r="U71" s="66">
        <v>0</v>
      </c>
      <c r="V71" s="66">
        <v>12</v>
      </c>
      <c r="W71" s="67">
        <v>1</v>
      </c>
      <c r="X71"/>
    </row>
    <row r="72" spans="1:24" ht="15" x14ac:dyDescent="0.25">
      <c r="A72" s="40"/>
      <c r="B72" s="40"/>
      <c r="C72" s="40"/>
      <c r="D72" s="35" t="s">
        <v>204</v>
      </c>
      <c r="E72" s="35">
        <v>5626</v>
      </c>
      <c r="F72" s="35" t="s">
        <v>121</v>
      </c>
      <c r="G72" s="43">
        <v>31</v>
      </c>
      <c r="H72" s="44">
        <v>0</v>
      </c>
      <c r="I72" s="44">
        <v>0</v>
      </c>
      <c r="J72" s="44">
        <v>0</v>
      </c>
      <c r="K72" s="44">
        <v>0</v>
      </c>
      <c r="L72" s="44">
        <v>0</v>
      </c>
      <c r="M72" s="44">
        <v>0</v>
      </c>
      <c r="N72" s="44">
        <v>31</v>
      </c>
      <c r="O72" s="44">
        <v>0</v>
      </c>
      <c r="P72" s="44">
        <v>0</v>
      </c>
      <c r="Q72" s="44">
        <v>0</v>
      </c>
      <c r="R72" s="44">
        <v>0</v>
      </c>
      <c r="S72" s="44">
        <v>0</v>
      </c>
      <c r="T72" s="44">
        <v>0</v>
      </c>
      <c r="U72" s="44">
        <v>0</v>
      </c>
      <c r="V72" s="44">
        <v>31</v>
      </c>
      <c r="W72" s="39">
        <v>1</v>
      </c>
      <c r="X72"/>
    </row>
    <row r="73" spans="1:24" ht="15" x14ac:dyDescent="0.25">
      <c r="A73" s="40"/>
      <c r="B73" s="40"/>
      <c r="C73" s="40"/>
      <c r="D73" s="63" t="s">
        <v>306</v>
      </c>
      <c r="E73" s="64"/>
      <c r="F73" s="64"/>
      <c r="G73" s="65">
        <v>31</v>
      </c>
      <c r="H73" s="66">
        <v>0</v>
      </c>
      <c r="I73" s="66">
        <v>0</v>
      </c>
      <c r="J73" s="66">
        <v>0</v>
      </c>
      <c r="K73" s="66">
        <v>0</v>
      </c>
      <c r="L73" s="66">
        <v>0</v>
      </c>
      <c r="M73" s="66">
        <v>0</v>
      </c>
      <c r="N73" s="66">
        <v>31</v>
      </c>
      <c r="O73" s="66">
        <v>0</v>
      </c>
      <c r="P73" s="66">
        <v>0</v>
      </c>
      <c r="Q73" s="66">
        <v>0</v>
      </c>
      <c r="R73" s="66">
        <v>0</v>
      </c>
      <c r="S73" s="66">
        <v>0</v>
      </c>
      <c r="T73" s="66">
        <v>0</v>
      </c>
      <c r="U73" s="66">
        <v>0</v>
      </c>
      <c r="V73" s="66">
        <v>31</v>
      </c>
      <c r="W73" s="67">
        <v>1</v>
      </c>
      <c r="X73"/>
    </row>
    <row r="74" spans="1:24" ht="15" x14ac:dyDescent="0.25">
      <c r="A74" s="40"/>
      <c r="B74" s="35" t="s">
        <v>209</v>
      </c>
      <c r="C74" s="35">
        <v>52091</v>
      </c>
      <c r="D74" s="35" t="s">
        <v>189</v>
      </c>
      <c r="E74" s="35">
        <v>5835</v>
      </c>
      <c r="F74" s="35" t="s">
        <v>121</v>
      </c>
      <c r="G74" s="43">
        <v>4</v>
      </c>
      <c r="H74" s="44">
        <v>0</v>
      </c>
      <c r="I74" s="44">
        <v>0</v>
      </c>
      <c r="J74" s="44">
        <v>0</v>
      </c>
      <c r="K74" s="44">
        <v>0</v>
      </c>
      <c r="L74" s="44">
        <v>4</v>
      </c>
      <c r="M74" s="44">
        <v>0</v>
      </c>
      <c r="N74" s="44">
        <v>0</v>
      </c>
      <c r="O74" s="44">
        <v>0</v>
      </c>
      <c r="P74" s="44">
        <v>0</v>
      </c>
      <c r="Q74" s="44">
        <v>0</v>
      </c>
      <c r="R74" s="44">
        <v>0</v>
      </c>
      <c r="S74" s="44">
        <v>0</v>
      </c>
      <c r="T74" s="44">
        <v>0</v>
      </c>
      <c r="U74" s="44">
        <v>0</v>
      </c>
      <c r="V74" s="44">
        <v>4</v>
      </c>
      <c r="W74" s="39">
        <v>1</v>
      </c>
      <c r="X74"/>
    </row>
    <row r="75" spans="1:24" ht="15" x14ac:dyDescent="0.25">
      <c r="A75" s="40"/>
      <c r="B75" s="40"/>
      <c r="C75" s="40"/>
      <c r="D75" s="63" t="s">
        <v>299</v>
      </c>
      <c r="E75" s="64"/>
      <c r="F75" s="64"/>
      <c r="G75" s="65">
        <v>4</v>
      </c>
      <c r="H75" s="66">
        <v>0</v>
      </c>
      <c r="I75" s="66">
        <v>0</v>
      </c>
      <c r="J75" s="66">
        <v>0</v>
      </c>
      <c r="K75" s="66">
        <v>0</v>
      </c>
      <c r="L75" s="66">
        <v>4</v>
      </c>
      <c r="M75" s="66">
        <v>0</v>
      </c>
      <c r="N75" s="66">
        <v>0</v>
      </c>
      <c r="O75" s="66">
        <v>0</v>
      </c>
      <c r="P75" s="66">
        <v>0</v>
      </c>
      <c r="Q75" s="66">
        <v>0</v>
      </c>
      <c r="R75" s="66">
        <v>0</v>
      </c>
      <c r="S75" s="66">
        <v>0</v>
      </c>
      <c r="T75" s="66">
        <v>0</v>
      </c>
      <c r="U75" s="66">
        <v>0</v>
      </c>
      <c r="V75" s="66">
        <v>4</v>
      </c>
      <c r="W75" s="67">
        <v>1</v>
      </c>
      <c r="X75"/>
    </row>
    <row r="76" spans="1:24" ht="15" x14ac:dyDescent="0.25">
      <c r="A76" s="40"/>
      <c r="B76" s="35" t="s">
        <v>210</v>
      </c>
      <c r="C76" s="35">
        <v>52905</v>
      </c>
      <c r="D76" s="35" t="s">
        <v>189</v>
      </c>
      <c r="E76" s="35">
        <v>5835</v>
      </c>
      <c r="F76" s="35" t="s">
        <v>121</v>
      </c>
      <c r="G76" s="43">
        <v>2</v>
      </c>
      <c r="H76" s="44">
        <v>0</v>
      </c>
      <c r="I76" s="44">
        <v>0</v>
      </c>
      <c r="J76" s="44">
        <v>0</v>
      </c>
      <c r="K76" s="44">
        <v>0</v>
      </c>
      <c r="L76" s="44">
        <v>0</v>
      </c>
      <c r="M76" s="44">
        <v>0</v>
      </c>
      <c r="N76" s="44">
        <v>2</v>
      </c>
      <c r="O76" s="44">
        <v>0</v>
      </c>
      <c r="P76" s="44">
        <v>0</v>
      </c>
      <c r="Q76" s="44">
        <v>0</v>
      </c>
      <c r="R76" s="44">
        <v>0</v>
      </c>
      <c r="S76" s="44">
        <v>0</v>
      </c>
      <c r="T76" s="44">
        <v>0</v>
      </c>
      <c r="U76" s="44">
        <v>0</v>
      </c>
      <c r="V76" s="44">
        <v>2</v>
      </c>
      <c r="W76" s="39">
        <v>1</v>
      </c>
      <c r="X76"/>
    </row>
    <row r="77" spans="1:24" ht="15" x14ac:dyDescent="0.25">
      <c r="A77" s="40"/>
      <c r="B77" s="40"/>
      <c r="C77" s="40"/>
      <c r="D77" s="63" t="s">
        <v>299</v>
      </c>
      <c r="E77" s="64"/>
      <c r="F77" s="64"/>
      <c r="G77" s="65">
        <v>2</v>
      </c>
      <c r="H77" s="66">
        <v>0</v>
      </c>
      <c r="I77" s="66">
        <v>0</v>
      </c>
      <c r="J77" s="66">
        <v>0</v>
      </c>
      <c r="K77" s="66">
        <v>0</v>
      </c>
      <c r="L77" s="66">
        <v>0</v>
      </c>
      <c r="M77" s="66">
        <v>0</v>
      </c>
      <c r="N77" s="66">
        <v>2</v>
      </c>
      <c r="O77" s="66">
        <v>0</v>
      </c>
      <c r="P77" s="66">
        <v>0</v>
      </c>
      <c r="Q77" s="66">
        <v>0</v>
      </c>
      <c r="R77" s="66">
        <v>0</v>
      </c>
      <c r="S77" s="66">
        <v>0</v>
      </c>
      <c r="T77" s="66">
        <v>0</v>
      </c>
      <c r="U77" s="66">
        <v>0</v>
      </c>
      <c r="V77" s="66">
        <v>2</v>
      </c>
      <c r="W77" s="67">
        <v>1</v>
      </c>
      <c r="X77"/>
    </row>
    <row r="78" spans="1:24" ht="15" x14ac:dyDescent="0.25">
      <c r="A78" s="47" t="s">
        <v>130</v>
      </c>
      <c r="B78" s="57"/>
      <c r="C78" s="57"/>
      <c r="D78" s="57"/>
      <c r="E78" s="57"/>
      <c r="F78" s="57"/>
      <c r="G78" s="58">
        <v>101</v>
      </c>
      <c r="H78" s="59">
        <v>0</v>
      </c>
      <c r="I78" s="59">
        <v>0</v>
      </c>
      <c r="J78" s="59">
        <v>0</v>
      </c>
      <c r="K78" s="59">
        <v>0</v>
      </c>
      <c r="L78" s="59">
        <v>34</v>
      </c>
      <c r="M78" s="59">
        <v>22</v>
      </c>
      <c r="N78" s="59">
        <v>45</v>
      </c>
      <c r="O78" s="59">
        <v>0</v>
      </c>
      <c r="P78" s="59">
        <v>0</v>
      </c>
      <c r="Q78" s="59">
        <v>0</v>
      </c>
      <c r="R78" s="59">
        <v>0</v>
      </c>
      <c r="S78" s="59">
        <v>0</v>
      </c>
      <c r="T78" s="59">
        <v>0</v>
      </c>
      <c r="U78" s="59">
        <v>0</v>
      </c>
      <c r="V78" s="59">
        <v>101</v>
      </c>
      <c r="W78" s="60">
        <v>1</v>
      </c>
      <c r="X78"/>
    </row>
    <row r="79" spans="1:24" ht="15" x14ac:dyDescent="0.25">
      <c r="A79" s="35" t="s">
        <v>185</v>
      </c>
      <c r="B79" s="35" t="s">
        <v>235</v>
      </c>
      <c r="C79" s="35">
        <v>52721</v>
      </c>
      <c r="D79" s="35" t="s">
        <v>233</v>
      </c>
      <c r="E79" s="35" t="s">
        <v>20</v>
      </c>
      <c r="F79" s="35" t="s">
        <v>185</v>
      </c>
      <c r="G79" s="43">
        <v>19</v>
      </c>
      <c r="H79" s="44">
        <v>0</v>
      </c>
      <c r="I79" s="44">
        <v>0</v>
      </c>
      <c r="J79" s="44">
        <v>0</v>
      </c>
      <c r="K79" s="44">
        <v>0</v>
      </c>
      <c r="L79" s="44">
        <v>0</v>
      </c>
      <c r="M79" s="44">
        <v>0</v>
      </c>
      <c r="N79" s="44">
        <v>19</v>
      </c>
      <c r="O79" s="44">
        <v>0</v>
      </c>
      <c r="P79" s="44">
        <v>0</v>
      </c>
      <c r="Q79" s="44">
        <v>0</v>
      </c>
      <c r="R79" s="44">
        <v>0</v>
      </c>
      <c r="S79" s="44">
        <v>0</v>
      </c>
      <c r="T79" s="44">
        <v>0</v>
      </c>
      <c r="U79" s="44">
        <v>0</v>
      </c>
      <c r="V79" s="44">
        <v>19</v>
      </c>
      <c r="W79" s="39">
        <v>1</v>
      </c>
      <c r="X79"/>
    </row>
    <row r="80" spans="1:24" ht="15" x14ac:dyDescent="0.25">
      <c r="A80" s="40"/>
      <c r="B80" s="40"/>
      <c r="C80" s="40"/>
      <c r="D80" s="63" t="s">
        <v>302</v>
      </c>
      <c r="E80" s="64"/>
      <c r="F80" s="64"/>
      <c r="G80" s="65">
        <v>19</v>
      </c>
      <c r="H80" s="66">
        <v>0</v>
      </c>
      <c r="I80" s="66">
        <v>0</v>
      </c>
      <c r="J80" s="66">
        <v>0</v>
      </c>
      <c r="K80" s="66">
        <v>0</v>
      </c>
      <c r="L80" s="66">
        <v>0</v>
      </c>
      <c r="M80" s="66">
        <v>0</v>
      </c>
      <c r="N80" s="66">
        <v>19</v>
      </c>
      <c r="O80" s="66">
        <v>0</v>
      </c>
      <c r="P80" s="66">
        <v>0</v>
      </c>
      <c r="Q80" s="66">
        <v>0</v>
      </c>
      <c r="R80" s="66">
        <v>0</v>
      </c>
      <c r="S80" s="66">
        <v>0</v>
      </c>
      <c r="T80" s="66">
        <v>0</v>
      </c>
      <c r="U80" s="66">
        <v>0</v>
      </c>
      <c r="V80" s="66">
        <v>19</v>
      </c>
      <c r="W80" s="67">
        <v>1</v>
      </c>
      <c r="X80"/>
    </row>
    <row r="81" spans="1:24" ht="15" x14ac:dyDescent="0.25">
      <c r="A81" s="47" t="s">
        <v>186</v>
      </c>
      <c r="B81" s="57"/>
      <c r="C81" s="57"/>
      <c r="D81" s="57"/>
      <c r="E81" s="57"/>
      <c r="F81" s="57"/>
      <c r="G81" s="58">
        <v>19</v>
      </c>
      <c r="H81" s="59">
        <v>0</v>
      </c>
      <c r="I81" s="59">
        <v>0</v>
      </c>
      <c r="J81" s="59">
        <v>0</v>
      </c>
      <c r="K81" s="59">
        <v>0</v>
      </c>
      <c r="L81" s="59">
        <v>0</v>
      </c>
      <c r="M81" s="59">
        <v>0</v>
      </c>
      <c r="N81" s="59">
        <v>19</v>
      </c>
      <c r="O81" s="59">
        <v>0</v>
      </c>
      <c r="P81" s="59">
        <v>0</v>
      </c>
      <c r="Q81" s="59">
        <v>0</v>
      </c>
      <c r="R81" s="59">
        <v>0</v>
      </c>
      <c r="S81" s="59">
        <v>0</v>
      </c>
      <c r="T81" s="59">
        <v>0</v>
      </c>
      <c r="U81" s="59">
        <v>0</v>
      </c>
      <c r="V81" s="59">
        <v>19</v>
      </c>
      <c r="W81" s="60">
        <v>1</v>
      </c>
      <c r="X81"/>
    </row>
    <row r="82" spans="1:24" ht="15" x14ac:dyDescent="0.25">
      <c r="A82" s="35" t="s">
        <v>97</v>
      </c>
      <c r="B82" s="35" t="s">
        <v>236</v>
      </c>
      <c r="C82" s="35">
        <v>1050</v>
      </c>
      <c r="D82" s="35" t="s">
        <v>212</v>
      </c>
      <c r="E82" s="35">
        <v>5632</v>
      </c>
      <c r="F82" s="35" t="s">
        <v>161</v>
      </c>
      <c r="G82" s="43">
        <v>2</v>
      </c>
      <c r="H82" s="44">
        <v>0</v>
      </c>
      <c r="I82" s="44">
        <v>0</v>
      </c>
      <c r="J82" s="44">
        <v>0</v>
      </c>
      <c r="K82" s="44">
        <v>0</v>
      </c>
      <c r="L82" s="44">
        <v>0</v>
      </c>
      <c r="M82" s="44">
        <v>0</v>
      </c>
      <c r="N82" s="44">
        <v>0</v>
      </c>
      <c r="O82" s="44">
        <v>0</v>
      </c>
      <c r="P82" s="44">
        <v>0</v>
      </c>
      <c r="Q82" s="44">
        <v>0</v>
      </c>
      <c r="R82" s="44">
        <v>0</v>
      </c>
      <c r="S82" s="44">
        <v>2</v>
      </c>
      <c r="T82" s="44">
        <v>0</v>
      </c>
      <c r="U82" s="44">
        <v>0</v>
      </c>
      <c r="V82" s="44">
        <v>2</v>
      </c>
      <c r="W82" s="39">
        <v>1</v>
      </c>
      <c r="X82"/>
    </row>
    <row r="83" spans="1:24" ht="15" x14ac:dyDescent="0.25">
      <c r="A83" s="40"/>
      <c r="B83" s="40"/>
      <c r="C83" s="40"/>
      <c r="D83" s="63" t="s">
        <v>307</v>
      </c>
      <c r="E83" s="64"/>
      <c r="F83" s="64"/>
      <c r="G83" s="65">
        <v>2</v>
      </c>
      <c r="H83" s="66">
        <v>0</v>
      </c>
      <c r="I83" s="66">
        <v>0</v>
      </c>
      <c r="J83" s="66">
        <v>0</v>
      </c>
      <c r="K83" s="66">
        <v>0</v>
      </c>
      <c r="L83" s="66">
        <v>0</v>
      </c>
      <c r="M83" s="66">
        <v>0</v>
      </c>
      <c r="N83" s="66">
        <v>0</v>
      </c>
      <c r="O83" s="66">
        <v>0</v>
      </c>
      <c r="P83" s="66">
        <v>0</v>
      </c>
      <c r="Q83" s="66">
        <v>0</v>
      </c>
      <c r="R83" s="66">
        <v>0</v>
      </c>
      <c r="S83" s="66">
        <v>2</v>
      </c>
      <c r="T83" s="66">
        <v>0</v>
      </c>
      <c r="U83" s="66">
        <v>0</v>
      </c>
      <c r="V83" s="66">
        <v>2</v>
      </c>
      <c r="W83" s="67">
        <v>1</v>
      </c>
      <c r="X83"/>
    </row>
    <row r="84" spans="1:24" ht="15" x14ac:dyDescent="0.25">
      <c r="A84" s="40"/>
      <c r="B84" s="35" t="s">
        <v>237</v>
      </c>
      <c r="C84" s="35">
        <v>52220</v>
      </c>
      <c r="D84" s="35" t="s">
        <v>212</v>
      </c>
      <c r="E84" s="35">
        <v>5632</v>
      </c>
      <c r="F84" s="35" t="s">
        <v>161</v>
      </c>
      <c r="G84" s="43">
        <v>3</v>
      </c>
      <c r="H84" s="44">
        <v>0</v>
      </c>
      <c r="I84" s="44">
        <v>0</v>
      </c>
      <c r="J84" s="44">
        <v>0</v>
      </c>
      <c r="K84" s="44">
        <v>0</v>
      </c>
      <c r="L84" s="44">
        <v>3</v>
      </c>
      <c r="M84" s="44">
        <v>0</v>
      </c>
      <c r="N84" s="44">
        <v>0</v>
      </c>
      <c r="O84" s="44">
        <v>0</v>
      </c>
      <c r="P84" s="44">
        <v>0</v>
      </c>
      <c r="Q84" s="44">
        <v>0</v>
      </c>
      <c r="R84" s="44">
        <v>0</v>
      </c>
      <c r="S84" s="44">
        <v>0</v>
      </c>
      <c r="T84" s="44">
        <v>0</v>
      </c>
      <c r="U84" s="44">
        <v>0</v>
      </c>
      <c r="V84" s="44">
        <v>3</v>
      </c>
      <c r="W84" s="39">
        <v>1</v>
      </c>
      <c r="X84"/>
    </row>
    <row r="85" spans="1:24" ht="15" x14ac:dyDescent="0.25">
      <c r="A85" s="40"/>
      <c r="B85" s="40"/>
      <c r="C85" s="40"/>
      <c r="D85" s="63" t="s">
        <v>307</v>
      </c>
      <c r="E85" s="64"/>
      <c r="F85" s="64"/>
      <c r="G85" s="65">
        <v>3</v>
      </c>
      <c r="H85" s="66">
        <v>0</v>
      </c>
      <c r="I85" s="66">
        <v>0</v>
      </c>
      <c r="J85" s="66">
        <v>0</v>
      </c>
      <c r="K85" s="66">
        <v>0</v>
      </c>
      <c r="L85" s="66">
        <v>3</v>
      </c>
      <c r="M85" s="66">
        <v>0</v>
      </c>
      <c r="N85" s="66">
        <v>0</v>
      </c>
      <c r="O85" s="66">
        <v>0</v>
      </c>
      <c r="P85" s="66">
        <v>0</v>
      </c>
      <c r="Q85" s="66">
        <v>0</v>
      </c>
      <c r="R85" s="66">
        <v>0</v>
      </c>
      <c r="S85" s="66">
        <v>0</v>
      </c>
      <c r="T85" s="66">
        <v>0</v>
      </c>
      <c r="U85" s="66">
        <v>0</v>
      </c>
      <c r="V85" s="66">
        <v>3</v>
      </c>
      <c r="W85" s="67">
        <v>1</v>
      </c>
      <c r="X85"/>
    </row>
    <row r="86" spans="1:24" ht="15" x14ac:dyDescent="0.25">
      <c r="A86" s="40"/>
      <c r="B86" s="35" t="s">
        <v>238</v>
      </c>
      <c r="C86" s="35">
        <v>53023</v>
      </c>
      <c r="D86" s="35" t="s">
        <v>212</v>
      </c>
      <c r="E86" s="35">
        <v>5632</v>
      </c>
      <c r="F86" s="35" t="s">
        <v>161</v>
      </c>
      <c r="G86" s="43">
        <v>3</v>
      </c>
      <c r="H86" s="44">
        <v>0</v>
      </c>
      <c r="I86" s="44">
        <v>0</v>
      </c>
      <c r="J86" s="44">
        <v>0</v>
      </c>
      <c r="K86" s="44">
        <v>0</v>
      </c>
      <c r="L86" s="44">
        <v>0</v>
      </c>
      <c r="M86" s="44">
        <v>0</v>
      </c>
      <c r="N86" s="44">
        <v>3</v>
      </c>
      <c r="O86" s="44">
        <v>0</v>
      </c>
      <c r="P86" s="44">
        <v>0</v>
      </c>
      <c r="Q86" s="44">
        <v>0</v>
      </c>
      <c r="R86" s="44">
        <v>0</v>
      </c>
      <c r="S86" s="44">
        <v>0</v>
      </c>
      <c r="T86" s="44">
        <v>0</v>
      </c>
      <c r="U86" s="44">
        <v>0</v>
      </c>
      <c r="V86" s="44">
        <v>3</v>
      </c>
      <c r="W86" s="39">
        <v>1</v>
      </c>
      <c r="X86"/>
    </row>
    <row r="87" spans="1:24" ht="15" x14ac:dyDescent="0.25">
      <c r="A87" s="40"/>
      <c r="B87" s="40"/>
      <c r="C87" s="40"/>
      <c r="D87" s="63" t="s">
        <v>307</v>
      </c>
      <c r="E87" s="64"/>
      <c r="F87" s="64"/>
      <c r="G87" s="65">
        <v>3</v>
      </c>
      <c r="H87" s="66">
        <v>0</v>
      </c>
      <c r="I87" s="66">
        <v>0</v>
      </c>
      <c r="J87" s="66">
        <v>0</v>
      </c>
      <c r="K87" s="66">
        <v>0</v>
      </c>
      <c r="L87" s="66">
        <v>0</v>
      </c>
      <c r="M87" s="66">
        <v>0</v>
      </c>
      <c r="N87" s="66">
        <v>3</v>
      </c>
      <c r="O87" s="66">
        <v>0</v>
      </c>
      <c r="P87" s="66">
        <v>0</v>
      </c>
      <c r="Q87" s="66">
        <v>0</v>
      </c>
      <c r="R87" s="66">
        <v>0</v>
      </c>
      <c r="S87" s="66">
        <v>0</v>
      </c>
      <c r="T87" s="66">
        <v>0</v>
      </c>
      <c r="U87" s="66">
        <v>0</v>
      </c>
      <c r="V87" s="66">
        <v>3</v>
      </c>
      <c r="W87" s="67">
        <v>1</v>
      </c>
      <c r="X87"/>
    </row>
    <row r="88" spans="1:24" ht="15" x14ac:dyDescent="0.25">
      <c r="A88" s="40"/>
      <c r="B88" s="35" t="s">
        <v>239</v>
      </c>
      <c r="C88" s="35">
        <v>53336</v>
      </c>
      <c r="D88" s="35" t="s">
        <v>212</v>
      </c>
      <c r="E88" s="35">
        <v>5632</v>
      </c>
      <c r="F88" s="35" t="s">
        <v>161</v>
      </c>
      <c r="G88" s="43">
        <v>3</v>
      </c>
      <c r="H88" s="44">
        <v>0</v>
      </c>
      <c r="I88" s="44">
        <v>0</v>
      </c>
      <c r="J88" s="44">
        <v>0</v>
      </c>
      <c r="K88" s="44">
        <v>0</v>
      </c>
      <c r="L88" s="44">
        <v>0</v>
      </c>
      <c r="M88" s="44">
        <v>0</v>
      </c>
      <c r="N88" s="44">
        <v>0</v>
      </c>
      <c r="O88" s="44">
        <v>3</v>
      </c>
      <c r="P88" s="44">
        <v>0</v>
      </c>
      <c r="Q88" s="44">
        <v>0</v>
      </c>
      <c r="R88" s="44">
        <v>0</v>
      </c>
      <c r="S88" s="44">
        <v>0</v>
      </c>
      <c r="T88" s="44">
        <v>0</v>
      </c>
      <c r="U88" s="44">
        <v>0</v>
      </c>
      <c r="V88" s="44">
        <v>3</v>
      </c>
      <c r="W88" s="39">
        <v>1</v>
      </c>
      <c r="X88"/>
    </row>
    <row r="89" spans="1:24" ht="15" x14ac:dyDescent="0.25">
      <c r="A89" s="40"/>
      <c r="B89" s="40"/>
      <c r="C89" s="40"/>
      <c r="D89" s="63" t="s">
        <v>307</v>
      </c>
      <c r="E89" s="64"/>
      <c r="F89" s="64"/>
      <c r="G89" s="65">
        <v>3</v>
      </c>
      <c r="H89" s="66">
        <v>0</v>
      </c>
      <c r="I89" s="66">
        <v>0</v>
      </c>
      <c r="J89" s="66">
        <v>0</v>
      </c>
      <c r="K89" s="66">
        <v>0</v>
      </c>
      <c r="L89" s="66">
        <v>0</v>
      </c>
      <c r="M89" s="66">
        <v>0</v>
      </c>
      <c r="N89" s="66">
        <v>0</v>
      </c>
      <c r="O89" s="66">
        <v>3</v>
      </c>
      <c r="P89" s="66">
        <v>0</v>
      </c>
      <c r="Q89" s="66">
        <v>0</v>
      </c>
      <c r="R89" s="66">
        <v>0</v>
      </c>
      <c r="S89" s="66">
        <v>0</v>
      </c>
      <c r="T89" s="66">
        <v>0</v>
      </c>
      <c r="U89" s="66">
        <v>0</v>
      </c>
      <c r="V89" s="66">
        <v>3</v>
      </c>
      <c r="W89" s="67">
        <v>1</v>
      </c>
      <c r="X89"/>
    </row>
    <row r="90" spans="1:24" ht="15" x14ac:dyDescent="0.25">
      <c r="A90" s="40"/>
      <c r="B90" s="40"/>
      <c r="C90" s="40"/>
      <c r="D90" s="35" t="s">
        <v>220</v>
      </c>
      <c r="E90" s="35">
        <v>6089</v>
      </c>
      <c r="F90" s="35" t="s">
        <v>161</v>
      </c>
      <c r="G90" s="43">
        <v>12</v>
      </c>
      <c r="H90" s="44">
        <v>0</v>
      </c>
      <c r="I90" s="44">
        <v>0</v>
      </c>
      <c r="J90" s="44">
        <v>0</v>
      </c>
      <c r="K90" s="44">
        <v>0</v>
      </c>
      <c r="L90" s="44">
        <v>0</v>
      </c>
      <c r="M90" s="44">
        <v>0</v>
      </c>
      <c r="N90" s="44">
        <v>0</v>
      </c>
      <c r="O90" s="44">
        <v>12</v>
      </c>
      <c r="P90" s="44">
        <v>0</v>
      </c>
      <c r="Q90" s="44">
        <v>0</v>
      </c>
      <c r="R90" s="44">
        <v>0</v>
      </c>
      <c r="S90" s="44">
        <v>0</v>
      </c>
      <c r="T90" s="44">
        <v>0</v>
      </c>
      <c r="U90" s="44">
        <v>0</v>
      </c>
      <c r="V90" s="44">
        <v>12</v>
      </c>
      <c r="W90" s="39">
        <v>1</v>
      </c>
      <c r="X90"/>
    </row>
    <row r="91" spans="1:24" ht="15" x14ac:dyDescent="0.25">
      <c r="A91" s="40"/>
      <c r="B91" s="40"/>
      <c r="C91" s="40"/>
      <c r="D91" s="63" t="s">
        <v>295</v>
      </c>
      <c r="E91" s="64"/>
      <c r="F91" s="64"/>
      <c r="G91" s="65">
        <v>12</v>
      </c>
      <c r="H91" s="66">
        <v>0</v>
      </c>
      <c r="I91" s="66">
        <v>0</v>
      </c>
      <c r="J91" s="66">
        <v>0</v>
      </c>
      <c r="K91" s="66">
        <v>0</v>
      </c>
      <c r="L91" s="66">
        <v>0</v>
      </c>
      <c r="M91" s="66">
        <v>0</v>
      </c>
      <c r="N91" s="66">
        <v>0</v>
      </c>
      <c r="O91" s="66">
        <v>12</v>
      </c>
      <c r="P91" s="66">
        <v>0</v>
      </c>
      <c r="Q91" s="66">
        <v>0</v>
      </c>
      <c r="R91" s="66">
        <v>0</v>
      </c>
      <c r="S91" s="66">
        <v>0</v>
      </c>
      <c r="T91" s="66">
        <v>0</v>
      </c>
      <c r="U91" s="66">
        <v>0</v>
      </c>
      <c r="V91" s="66">
        <v>12</v>
      </c>
      <c r="W91" s="67">
        <v>1</v>
      </c>
      <c r="X91"/>
    </row>
    <row r="92" spans="1:24" ht="15" x14ac:dyDescent="0.25">
      <c r="A92" s="40"/>
      <c r="B92" s="35" t="s">
        <v>240</v>
      </c>
      <c r="C92" s="35">
        <v>55312</v>
      </c>
      <c r="D92" s="35" t="s">
        <v>212</v>
      </c>
      <c r="E92" s="35">
        <v>5632</v>
      </c>
      <c r="F92" s="35" t="s">
        <v>161</v>
      </c>
      <c r="G92" s="43">
        <v>3</v>
      </c>
      <c r="H92" s="44">
        <v>0</v>
      </c>
      <c r="I92" s="44">
        <v>0</v>
      </c>
      <c r="J92" s="44">
        <v>0</v>
      </c>
      <c r="K92" s="44">
        <v>0</v>
      </c>
      <c r="L92" s="44">
        <v>0</v>
      </c>
      <c r="M92" s="44">
        <v>0</v>
      </c>
      <c r="N92" s="44">
        <v>0</v>
      </c>
      <c r="O92" s="44">
        <v>0</v>
      </c>
      <c r="P92" s="44">
        <v>0</v>
      </c>
      <c r="Q92" s="44">
        <v>0</v>
      </c>
      <c r="R92" s="44">
        <v>0</v>
      </c>
      <c r="S92" s="44">
        <v>0</v>
      </c>
      <c r="T92" s="44">
        <v>0</v>
      </c>
      <c r="U92" s="44">
        <v>3</v>
      </c>
      <c r="V92" s="44">
        <v>3</v>
      </c>
      <c r="W92" s="39">
        <v>1</v>
      </c>
      <c r="X92"/>
    </row>
    <row r="93" spans="1:24" ht="15" x14ac:dyDescent="0.25">
      <c r="A93" s="40"/>
      <c r="B93" s="40"/>
      <c r="C93" s="40"/>
      <c r="D93" s="63" t="s">
        <v>307</v>
      </c>
      <c r="E93" s="64"/>
      <c r="F93" s="64"/>
      <c r="G93" s="65">
        <v>3</v>
      </c>
      <c r="H93" s="66">
        <v>0</v>
      </c>
      <c r="I93" s="66">
        <v>0</v>
      </c>
      <c r="J93" s="66">
        <v>0</v>
      </c>
      <c r="K93" s="66">
        <v>0</v>
      </c>
      <c r="L93" s="66">
        <v>0</v>
      </c>
      <c r="M93" s="66">
        <v>0</v>
      </c>
      <c r="N93" s="66">
        <v>0</v>
      </c>
      <c r="O93" s="66">
        <v>0</v>
      </c>
      <c r="P93" s="66">
        <v>0</v>
      </c>
      <c r="Q93" s="66">
        <v>0</v>
      </c>
      <c r="R93" s="66">
        <v>0</v>
      </c>
      <c r="S93" s="66">
        <v>0</v>
      </c>
      <c r="T93" s="66">
        <v>0</v>
      </c>
      <c r="U93" s="66">
        <v>3</v>
      </c>
      <c r="V93" s="66">
        <v>3</v>
      </c>
      <c r="W93" s="67">
        <v>1</v>
      </c>
      <c r="X93"/>
    </row>
    <row r="94" spans="1:24" ht="15" x14ac:dyDescent="0.25">
      <c r="A94" s="40"/>
      <c r="B94" s="40"/>
      <c r="C94" s="35">
        <v>55313</v>
      </c>
      <c r="D94" s="35" t="s">
        <v>220</v>
      </c>
      <c r="E94" s="35">
        <v>6089</v>
      </c>
      <c r="F94" s="35" t="s">
        <v>161</v>
      </c>
      <c r="G94" s="43">
        <v>8</v>
      </c>
      <c r="H94" s="44">
        <v>0</v>
      </c>
      <c r="I94" s="44">
        <v>0</v>
      </c>
      <c r="J94" s="44">
        <v>0</v>
      </c>
      <c r="K94" s="44">
        <v>0</v>
      </c>
      <c r="L94" s="44">
        <v>0</v>
      </c>
      <c r="M94" s="44">
        <v>0</v>
      </c>
      <c r="N94" s="44">
        <v>0</v>
      </c>
      <c r="O94" s="44">
        <v>0</v>
      </c>
      <c r="P94" s="44">
        <v>0</v>
      </c>
      <c r="Q94" s="44">
        <v>0</v>
      </c>
      <c r="R94" s="44">
        <v>0</v>
      </c>
      <c r="S94" s="44">
        <v>0</v>
      </c>
      <c r="T94" s="44">
        <v>0</v>
      </c>
      <c r="U94" s="44">
        <v>8</v>
      </c>
      <c r="V94" s="44">
        <v>8</v>
      </c>
      <c r="W94" s="39">
        <v>1</v>
      </c>
      <c r="X94"/>
    </row>
    <row r="95" spans="1:24" ht="15" x14ac:dyDescent="0.25">
      <c r="A95" s="40"/>
      <c r="B95" s="40"/>
      <c r="C95" s="40"/>
      <c r="D95" s="63" t="s">
        <v>295</v>
      </c>
      <c r="E95" s="64"/>
      <c r="F95" s="64"/>
      <c r="G95" s="65">
        <v>8</v>
      </c>
      <c r="H95" s="66">
        <v>0</v>
      </c>
      <c r="I95" s="66">
        <v>0</v>
      </c>
      <c r="J95" s="66">
        <v>0</v>
      </c>
      <c r="K95" s="66">
        <v>0</v>
      </c>
      <c r="L95" s="66">
        <v>0</v>
      </c>
      <c r="M95" s="66">
        <v>0</v>
      </c>
      <c r="N95" s="66">
        <v>0</v>
      </c>
      <c r="O95" s="66">
        <v>0</v>
      </c>
      <c r="P95" s="66">
        <v>0</v>
      </c>
      <c r="Q95" s="66">
        <v>0</v>
      </c>
      <c r="R95" s="66">
        <v>0</v>
      </c>
      <c r="S95" s="66">
        <v>0</v>
      </c>
      <c r="T95" s="66">
        <v>0</v>
      </c>
      <c r="U95" s="66">
        <v>8</v>
      </c>
      <c r="V95" s="66">
        <v>8</v>
      </c>
      <c r="W95" s="67">
        <v>1</v>
      </c>
      <c r="X95"/>
    </row>
    <row r="96" spans="1:24" ht="15" x14ac:dyDescent="0.25">
      <c r="A96" s="40"/>
      <c r="B96" s="35" t="s">
        <v>241</v>
      </c>
      <c r="C96" s="35">
        <v>894</v>
      </c>
      <c r="D96" s="35" t="s">
        <v>214</v>
      </c>
      <c r="E96" s="35">
        <v>6086</v>
      </c>
      <c r="F96" s="35" t="s">
        <v>161</v>
      </c>
      <c r="G96" s="43">
        <v>6</v>
      </c>
      <c r="H96" s="44">
        <v>0</v>
      </c>
      <c r="I96" s="44">
        <v>0</v>
      </c>
      <c r="J96" s="44">
        <v>0</v>
      </c>
      <c r="K96" s="44">
        <v>0</v>
      </c>
      <c r="L96" s="44">
        <v>0</v>
      </c>
      <c r="M96" s="44">
        <v>0</v>
      </c>
      <c r="N96" s="44">
        <v>0</v>
      </c>
      <c r="O96" s="44">
        <v>0</v>
      </c>
      <c r="P96" s="44">
        <v>0</v>
      </c>
      <c r="Q96" s="44">
        <v>0</v>
      </c>
      <c r="R96" s="44">
        <v>6</v>
      </c>
      <c r="S96" s="44">
        <v>0</v>
      </c>
      <c r="T96" s="44">
        <v>0</v>
      </c>
      <c r="U96" s="44">
        <v>0</v>
      </c>
      <c r="V96" s="44">
        <v>6</v>
      </c>
      <c r="W96" s="39">
        <v>1</v>
      </c>
      <c r="X96"/>
    </row>
    <row r="97" spans="1:24" ht="15" x14ac:dyDescent="0.25">
      <c r="A97" s="40"/>
      <c r="B97" s="40"/>
      <c r="C97" s="40"/>
      <c r="D97" s="63" t="s">
        <v>301</v>
      </c>
      <c r="E97" s="64"/>
      <c r="F97" s="64"/>
      <c r="G97" s="65">
        <v>6</v>
      </c>
      <c r="H97" s="66">
        <v>0</v>
      </c>
      <c r="I97" s="66">
        <v>0</v>
      </c>
      <c r="J97" s="66">
        <v>0</v>
      </c>
      <c r="K97" s="66">
        <v>0</v>
      </c>
      <c r="L97" s="66">
        <v>0</v>
      </c>
      <c r="M97" s="66">
        <v>0</v>
      </c>
      <c r="N97" s="66">
        <v>0</v>
      </c>
      <c r="O97" s="66">
        <v>0</v>
      </c>
      <c r="P97" s="66">
        <v>0</v>
      </c>
      <c r="Q97" s="66">
        <v>0</v>
      </c>
      <c r="R97" s="66">
        <v>6</v>
      </c>
      <c r="S97" s="66">
        <v>0</v>
      </c>
      <c r="T97" s="66">
        <v>0</v>
      </c>
      <c r="U97" s="66">
        <v>0</v>
      </c>
      <c r="V97" s="66">
        <v>6</v>
      </c>
      <c r="W97" s="67">
        <v>1</v>
      </c>
      <c r="X97"/>
    </row>
    <row r="98" spans="1:24" ht="15" x14ac:dyDescent="0.25">
      <c r="A98" s="40"/>
      <c r="B98" s="35" t="s">
        <v>242</v>
      </c>
      <c r="C98" s="35">
        <v>1152</v>
      </c>
      <c r="D98" s="35" t="s">
        <v>214</v>
      </c>
      <c r="E98" s="35">
        <v>6086</v>
      </c>
      <c r="F98" s="35" t="s">
        <v>161</v>
      </c>
      <c r="G98" s="43">
        <v>6</v>
      </c>
      <c r="H98" s="44">
        <v>0</v>
      </c>
      <c r="I98" s="44">
        <v>0</v>
      </c>
      <c r="J98" s="44">
        <v>0</v>
      </c>
      <c r="K98" s="44">
        <v>0</v>
      </c>
      <c r="L98" s="44">
        <v>0</v>
      </c>
      <c r="M98" s="44">
        <v>0</v>
      </c>
      <c r="N98" s="44">
        <v>0</v>
      </c>
      <c r="O98" s="44">
        <v>0</v>
      </c>
      <c r="P98" s="44">
        <v>0</v>
      </c>
      <c r="Q98" s="44">
        <v>0</v>
      </c>
      <c r="R98" s="44">
        <v>0</v>
      </c>
      <c r="S98" s="44">
        <v>0</v>
      </c>
      <c r="T98" s="44">
        <v>0</v>
      </c>
      <c r="U98" s="44">
        <v>6</v>
      </c>
      <c r="V98" s="44">
        <v>6</v>
      </c>
      <c r="W98" s="39">
        <v>1</v>
      </c>
      <c r="X98"/>
    </row>
    <row r="99" spans="1:24" ht="15" x14ac:dyDescent="0.25">
      <c r="A99" s="40"/>
      <c r="B99" s="40"/>
      <c r="C99" s="40"/>
      <c r="D99" s="63" t="s">
        <v>301</v>
      </c>
      <c r="E99" s="64"/>
      <c r="F99" s="64"/>
      <c r="G99" s="65">
        <v>6</v>
      </c>
      <c r="H99" s="66">
        <v>0</v>
      </c>
      <c r="I99" s="66">
        <v>0</v>
      </c>
      <c r="J99" s="66">
        <v>0</v>
      </c>
      <c r="K99" s="66">
        <v>0</v>
      </c>
      <c r="L99" s="66">
        <v>0</v>
      </c>
      <c r="M99" s="66">
        <v>0</v>
      </c>
      <c r="N99" s="66">
        <v>0</v>
      </c>
      <c r="O99" s="66">
        <v>0</v>
      </c>
      <c r="P99" s="66">
        <v>0</v>
      </c>
      <c r="Q99" s="66">
        <v>0</v>
      </c>
      <c r="R99" s="66">
        <v>0</v>
      </c>
      <c r="S99" s="66">
        <v>0</v>
      </c>
      <c r="T99" s="66">
        <v>0</v>
      </c>
      <c r="U99" s="66">
        <v>6</v>
      </c>
      <c r="V99" s="66">
        <v>6</v>
      </c>
      <c r="W99" s="67">
        <v>1</v>
      </c>
      <c r="X99"/>
    </row>
    <row r="100" spans="1:24" ht="15" x14ac:dyDescent="0.25">
      <c r="A100" s="40"/>
      <c r="B100" s="35" t="s">
        <v>164</v>
      </c>
      <c r="C100" s="35">
        <v>52181</v>
      </c>
      <c r="D100" s="35" t="s">
        <v>220</v>
      </c>
      <c r="E100" s="35">
        <v>6089</v>
      </c>
      <c r="F100" s="35" t="s">
        <v>161</v>
      </c>
      <c r="G100" s="43">
        <v>8</v>
      </c>
      <c r="H100" s="44">
        <v>0</v>
      </c>
      <c r="I100" s="44">
        <v>0</v>
      </c>
      <c r="J100" s="44">
        <v>0</v>
      </c>
      <c r="K100" s="44">
        <v>0</v>
      </c>
      <c r="L100" s="44">
        <v>8</v>
      </c>
      <c r="M100" s="44">
        <v>0</v>
      </c>
      <c r="N100" s="44">
        <v>0</v>
      </c>
      <c r="O100" s="44">
        <v>0</v>
      </c>
      <c r="P100" s="44">
        <v>0</v>
      </c>
      <c r="Q100" s="44">
        <v>0</v>
      </c>
      <c r="R100" s="44">
        <v>0</v>
      </c>
      <c r="S100" s="44">
        <v>0</v>
      </c>
      <c r="T100" s="44">
        <v>0</v>
      </c>
      <c r="U100" s="44">
        <v>0</v>
      </c>
      <c r="V100" s="44">
        <v>8</v>
      </c>
      <c r="W100" s="39">
        <v>1</v>
      </c>
      <c r="X100"/>
    </row>
    <row r="101" spans="1:24" ht="15" x14ac:dyDescent="0.25">
      <c r="A101" s="40"/>
      <c r="B101" s="40"/>
      <c r="C101" s="40"/>
      <c r="D101" s="63" t="s">
        <v>295</v>
      </c>
      <c r="E101" s="64"/>
      <c r="F101" s="64"/>
      <c r="G101" s="65">
        <v>8</v>
      </c>
      <c r="H101" s="66">
        <v>0</v>
      </c>
      <c r="I101" s="66">
        <v>0</v>
      </c>
      <c r="J101" s="66">
        <v>0</v>
      </c>
      <c r="K101" s="66">
        <v>0</v>
      </c>
      <c r="L101" s="66">
        <v>8</v>
      </c>
      <c r="M101" s="66">
        <v>0</v>
      </c>
      <c r="N101" s="66">
        <v>0</v>
      </c>
      <c r="O101" s="66">
        <v>0</v>
      </c>
      <c r="P101" s="66">
        <v>0</v>
      </c>
      <c r="Q101" s="66">
        <v>0</v>
      </c>
      <c r="R101" s="66">
        <v>0</v>
      </c>
      <c r="S101" s="66">
        <v>0</v>
      </c>
      <c r="T101" s="66">
        <v>0</v>
      </c>
      <c r="U101" s="66">
        <v>0</v>
      </c>
      <c r="V101" s="66">
        <v>8</v>
      </c>
      <c r="W101" s="67">
        <v>1</v>
      </c>
      <c r="X101"/>
    </row>
    <row r="102" spans="1:24" ht="15" x14ac:dyDescent="0.25">
      <c r="A102" s="40"/>
      <c r="B102" s="35" t="s">
        <v>243</v>
      </c>
      <c r="C102" s="35">
        <v>53828</v>
      </c>
      <c r="D102" s="35" t="s">
        <v>220</v>
      </c>
      <c r="E102" s="35">
        <v>6089</v>
      </c>
      <c r="F102" s="35" t="s">
        <v>161</v>
      </c>
      <c r="G102" s="43">
        <v>8</v>
      </c>
      <c r="H102" s="44">
        <v>0</v>
      </c>
      <c r="I102" s="44">
        <v>0</v>
      </c>
      <c r="J102" s="44">
        <v>0</v>
      </c>
      <c r="K102" s="44">
        <v>0</v>
      </c>
      <c r="L102" s="44">
        <v>0</v>
      </c>
      <c r="M102" s="44">
        <v>0</v>
      </c>
      <c r="N102" s="44">
        <v>0</v>
      </c>
      <c r="O102" s="44">
        <v>0</v>
      </c>
      <c r="P102" s="44">
        <v>0</v>
      </c>
      <c r="Q102" s="44">
        <v>8</v>
      </c>
      <c r="R102" s="44">
        <v>0</v>
      </c>
      <c r="S102" s="44">
        <v>0</v>
      </c>
      <c r="T102" s="44">
        <v>0</v>
      </c>
      <c r="U102" s="44">
        <v>0</v>
      </c>
      <c r="V102" s="44">
        <v>8</v>
      </c>
      <c r="W102" s="39">
        <v>1</v>
      </c>
      <c r="X102"/>
    </row>
    <row r="103" spans="1:24" ht="15" x14ac:dyDescent="0.25">
      <c r="A103" s="40"/>
      <c r="B103" s="40"/>
      <c r="C103" s="40"/>
      <c r="D103" s="63" t="s">
        <v>295</v>
      </c>
      <c r="E103" s="64"/>
      <c r="F103" s="64"/>
      <c r="G103" s="65">
        <v>8</v>
      </c>
      <c r="H103" s="66">
        <v>0</v>
      </c>
      <c r="I103" s="66">
        <v>0</v>
      </c>
      <c r="J103" s="66">
        <v>0</v>
      </c>
      <c r="K103" s="66">
        <v>0</v>
      </c>
      <c r="L103" s="66">
        <v>0</v>
      </c>
      <c r="M103" s="66">
        <v>0</v>
      </c>
      <c r="N103" s="66">
        <v>0</v>
      </c>
      <c r="O103" s="66">
        <v>0</v>
      </c>
      <c r="P103" s="66">
        <v>0</v>
      </c>
      <c r="Q103" s="66">
        <v>8</v>
      </c>
      <c r="R103" s="66">
        <v>0</v>
      </c>
      <c r="S103" s="66">
        <v>0</v>
      </c>
      <c r="T103" s="66">
        <v>0</v>
      </c>
      <c r="U103" s="66">
        <v>0</v>
      </c>
      <c r="V103" s="66">
        <v>8</v>
      </c>
      <c r="W103" s="67">
        <v>1</v>
      </c>
      <c r="X103"/>
    </row>
    <row r="104" spans="1:24" ht="15" x14ac:dyDescent="0.25">
      <c r="A104" s="40"/>
      <c r="B104" s="35" t="s">
        <v>245</v>
      </c>
      <c r="C104" s="35">
        <v>1209</v>
      </c>
      <c r="D104" s="35" t="s">
        <v>244</v>
      </c>
      <c r="E104" s="35">
        <v>6089</v>
      </c>
      <c r="F104" s="35" t="s">
        <v>161</v>
      </c>
      <c r="G104" s="43">
        <v>12</v>
      </c>
      <c r="H104" s="44">
        <v>0</v>
      </c>
      <c r="I104" s="44">
        <v>0</v>
      </c>
      <c r="J104" s="44">
        <v>0</v>
      </c>
      <c r="K104" s="44">
        <v>0</v>
      </c>
      <c r="L104" s="44">
        <v>0</v>
      </c>
      <c r="M104" s="44">
        <v>0</v>
      </c>
      <c r="N104" s="44">
        <v>0</v>
      </c>
      <c r="O104" s="44">
        <v>0</v>
      </c>
      <c r="P104" s="44">
        <v>0</v>
      </c>
      <c r="Q104" s="44">
        <v>0</v>
      </c>
      <c r="R104" s="44">
        <v>0</v>
      </c>
      <c r="S104" s="44">
        <v>0</v>
      </c>
      <c r="T104" s="44">
        <v>0</v>
      </c>
      <c r="U104" s="44">
        <v>12</v>
      </c>
      <c r="V104" s="44">
        <v>12</v>
      </c>
      <c r="W104" s="39">
        <v>1</v>
      </c>
      <c r="X104"/>
    </row>
    <row r="105" spans="1:24" ht="15" x14ac:dyDescent="0.25">
      <c r="A105" s="40"/>
      <c r="B105" s="40"/>
      <c r="C105" s="40"/>
      <c r="D105" s="63" t="s">
        <v>308</v>
      </c>
      <c r="E105" s="64"/>
      <c r="F105" s="64"/>
      <c r="G105" s="65">
        <v>12</v>
      </c>
      <c r="H105" s="66">
        <v>0</v>
      </c>
      <c r="I105" s="66">
        <v>0</v>
      </c>
      <c r="J105" s="66">
        <v>0</v>
      </c>
      <c r="K105" s="66">
        <v>0</v>
      </c>
      <c r="L105" s="66">
        <v>0</v>
      </c>
      <c r="M105" s="66">
        <v>0</v>
      </c>
      <c r="N105" s="66">
        <v>0</v>
      </c>
      <c r="O105" s="66">
        <v>0</v>
      </c>
      <c r="P105" s="66">
        <v>0</v>
      </c>
      <c r="Q105" s="66">
        <v>0</v>
      </c>
      <c r="R105" s="66">
        <v>0</v>
      </c>
      <c r="S105" s="66">
        <v>0</v>
      </c>
      <c r="T105" s="66">
        <v>0</v>
      </c>
      <c r="U105" s="66">
        <v>12</v>
      </c>
      <c r="V105" s="66">
        <v>12</v>
      </c>
      <c r="W105" s="67">
        <v>1</v>
      </c>
      <c r="X105"/>
    </row>
    <row r="106" spans="1:24" ht="15" x14ac:dyDescent="0.25">
      <c r="A106" s="40"/>
      <c r="B106" s="40"/>
      <c r="C106" s="35">
        <v>1211</v>
      </c>
      <c r="D106" s="35" t="s">
        <v>244</v>
      </c>
      <c r="E106" s="35">
        <v>6089</v>
      </c>
      <c r="F106" s="35" t="s">
        <v>98</v>
      </c>
      <c r="G106" s="43">
        <v>12</v>
      </c>
      <c r="H106" s="44">
        <v>0</v>
      </c>
      <c r="I106" s="44">
        <v>0</v>
      </c>
      <c r="J106" s="44">
        <v>0</v>
      </c>
      <c r="K106" s="44">
        <v>0</v>
      </c>
      <c r="L106" s="44">
        <v>0</v>
      </c>
      <c r="M106" s="44">
        <v>0</v>
      </c>
      <c r="N106" s="44">
        <v>0</v>
      </c>
      <c r="O106" s="44">
        <v>0</v>
      </c>
      <c r="P106" s="44">
        <v>0</v>
      </c>
      <c r="Q106" s="44">
        <v>0</v>
      </c>
      <c r="R106" s="44">
        <v>0</v>
      </c>
      <c r="S106" s="44">
        <v>0</v>
      </c>
      <c r="T106" s="44">
        <v>0</v>
      </c>
      <c r="U106" s="44">
        <v>12</v>
      </c>
      <c r="V106" s="44">
        <v>12</v>
      </c>
      <c r="W106" s="39">
        <v>1</v>
      </c>
      <c r="X106"/>
    </row>
    <row r="107" spans="1:24" ht="15" x14ac:dyDescent="0.25">
      <c r="A107" s="40"/>
      <c r="B107" s="40"/>
      <c r="C107" s="40"/>
      <c r="D107" s="63" t="s">
        <v>308</v>
      </c>
      <c r="E107" s="64"/>
      <c r="F107" s="64"/>
      <c r="G107" s="65">
        <v>12</v>
      </c>
      <c r="H107" s="66">
        <v>0</v>
      </c>
      <c r="I107" s="66">
        <v>0</v>
      </c>
      <c r="J107" s="66">
        <v>0</v>
      </c>
      <c r="K107" s="66">
        <v>0</v>
      </c>
      <c r="L107" s="66">
        <v>0</v>
      </c>
      <c r="M107" s="66">
        <v>0</v>
      </c>
      <c r="N107" s="66">
        <v>0</v>
      </c>
      <c r="O107" s="66">
        <v>0</v>
      </c>
      <c r="P107" s="66">
        <v>0</v>
      </c>
      <c r="Q107" s="66">
        <v>0</v>
      </c>
      <c r="R107" s="66">
        <v>0</v>
      </c>
      <c r="S107" s="66">
        <v>0</v>
      </c>
      <c r="T107" s="66">
        <v>0</v>
      </c>
      <c r="U107" s="66">
        <v>12</v>
      </c>
      <c r="V107" s="66">
        <v>12</v>
      </c>
      <c r="W107" s="67">
        <v>1</v>
      </c>
      <c r="X107"/>
    </row>
    <row r="108" spans="1:24" ht="15" x14ac:dyDescent="0.25">
      <c r="A108" s="40"/>
      <c r="B108" s="35" t="s">
        <v>162</v>
      </c>
      <c r="C108" s="35">
        <v>1017</v>
      </c>
      <c r="D108" s="35" t="s">
        <v>212</v>
      </c>
      <c r="E108" s="35">
        <v>5632</v>
      </c>
      <c r="F108" s="35" t="s">
        <v>246</v>
      </c>
      <c r="G108" s="43">
        <v>3</v>
      </c>
      <c r="H108" s="44">
        <v>0</v>
      </c>
      <c r="I108" s="44">
        <v>0</v>
      </c>
      <c r="J108" s="44">
        <v>0</v>
      </c>
      <c r="K108" s="44">
        <v>0</v>
      </c>
      <c r="L108" s="44">
        <v>0</v>
      </c>
      <c r="M108" s="44">
        <v>0</v>
      </c>
      <c r="N108" s="44">
        <v>0</v>
      </c>
      <c r="O108" s="44">
        <v>0</v>
      </c>
      <c r="P108" s="44">
        <v>0</v>
      </c>
      <c r="Q108" s="44">
        <v>0</v>
      </c>
      <c r="R108" s="44">
        <v>0</v>
      </c>
      <c r="S108" s="44">
        <v>3</v>
      </c>
      <c r="T108" s="44">
        <v>0</v>
      </c>
      <c r="U108" s="44">
        <v>0</v>
      </c>
      <c r="V108" s="44">
        <v>3</v>
      </c>
      <c r="W108" s="39">
        <v>1</v>
      </c>
      <c r="X108"/>
    </row>
    <row r="109" spans="1:24" ht="15" x14ac:dyDescent="0.25">
      <c r="A109" s="40"/>
      <c r="B109" s="40"/>
      <c r="C109" s="40"/>
      <c r="D109" s="63" t="s">
        <v>307</v>
      </c>
      <c r="E109" s="64"/>
      <c r="F109" s="64"/>
      <c r="G109" s="65">
        <v>3</v>
      </c>
      <c r="H109" s="66">
        <v>0</v>
      </c>
      <c r="I109" s="66">
        <v>0</v>
      </c>
      <c r="J109" s="66">
        <v>0</v>
      </c>
      <c r="K109" s="66">
        <v>0</v>
      </c>
      <c r="L109" s="66">
        <v>0</v>
      </c>
      <c r="M109" s="66">
        <v>0</v>
      </c>
      <c r="N109" s="66">
        <v>0</v>
      </c>
      <c r="O109" s="66">
        <v>0</v>
      </c>
      <c r="P109" s="66">
        <v>0</v>
      </c>
      <c r="Q109" s="66">
        <v>0</v>
      </c>
      <c r="R109" s="66">
        <v>0</v>
      </c>
      <c r="S109" s="66">
        <v>3</v>
      </c>
      <c r="T109" s="66">
        <v>0</v>
      </c>
      <c r="U109" s="66">
        <v>0</v>
      </c>
      <c r="V109" s="66">
        <v>3</v>
      </c>
      <c r="W109" s="67">
        <v>1</v>
      </c>
      <c r="X109"/>
    </row>
    <row r="110" spans="1:24" ht="15" x14ac:dyDescent="0.25">
      <c r="A110" s="40"/>
      <c r="B110" s="35" t="s">
        <v>247</v>
      </c>
      <c r="C110" s="35">
        <v>1176</v>
      </c>
      <c r="D110" s="35" t="s">
        <v>220</v>
      </c>
      <c r="E110" s="35">
        <v>6089</v>
      </c>
      <c r="F110" s="35" t="s">
        <v>246</v>
      </c>
      <c r="G110" s="43">
        <v>8</v>
      </c>
      <c r="H110" s="44">
        <v>0</v>
      </c>
      <c r="I110" s="44">
        <v>0</v>
      </c>
      <c r="J110" s="44">
        <v>0</v>
      </c>
      <c r="K110" s="44">
        <v>0</v>
      </c>
      <c r="L110" s="44">
        <v>0</v>
      </c>
      <c r="M110" s="44">
        <v>0</v>
      </c>
      <c r="N110" s="44">
        <v>0</v>
      </c>
      <c r="O110" s="44">
        <v>0</v>
      </c>
      <c r="P110" s="44">
        <v>0</v>
      </c>
      <c r="Q110" s="44">
        <v>0</v>
      </c>
      <c r="R110" s="44">
        <v>8</v>
      </c>
      <c r="S110" s="44">
        <v>0</v>
      </c>
      <c r="T110" s="44">
        <v>0</v>
      </c>
      <c r="U110" s="44">
        <v>0</v>
      </c>
      <c r="V110" s="44">
        <v>8</v>
      </c>
      <c r="W110" s="39">
        <v>1</v>
      </c>
      <c r="X110"/>
    </row>
    <row r="111" spans="1:24" ht="15" x14ac:dyDescent="0.25">
      <c r="A111" s="40"/>
      <c r="B111" s="40"/>
      <c r="C111" s="40"/>
      <c r="D111" s="63" t="s">
        <v>295</v>
      </c>
      <c r="E111" s="64"/>
      <c r="F111" s="64"/>
      <c r="G111" s="65">
        <v>8</v>
      </c>
      <c r="H111" s="66">
        <v>0</v>
      </c>
      <c r="I111" s="66">
        <v>0</v>
      </c>
      <c r="J111" s="66">
        <v>0</v>
      </c>
      <c r="K111" s="66">
        <v>0</v>
      </c>
      <c r="L111" s="66">
        <v>0</v>
      </c>
      <c r="M111" s="66">
        <v>0</v>
      </c>
      <c r="N111" s="66">
        <v>0</v>
      </c>
      <c r="O111" s="66">
        <v>0</v>
      </c>
      <c r="P111" s="66">
        <v>0</v>
      </c>
      <c r="Q111" s="66">
        <v>0</v>
      </c>
      <c r="R111" s="66">
        <v>8</v>
      </c>
      <c r="S111" s="66">
        <v>0</v>
      </c>
      <c r="T111" s="66">
        <v>0</v>
      </c>
      <c r="U111" s="66">
        <v>0</v>
      </c>
      <c r="V111" s="66">
        <v>8</v>
      </c>
      <c r="W111" s="67">
        <v>1</v>
      </c>
      <c r="X111"/>
    </row>
    <row r="112" spans="1:24" ht="15" x14ac:dyDescent="0.25">
      <c r="A112" s="40"/>
      <c r="B112" s="35" t="s">
        <v>248</v>
      </c>
      <c r="C112" s="35">
        <v>52361</v>
      </c>
      <c r="D112" s="35" t="s">
        <v>220</v>
      </c>
      <c r="E112" s="35">
        <v>6089</v>
      </c>
      <c r="F112" s="35" t="s">
        <v>246</v>
      </c>
      <c r="G112" s="43">
        <v>8</v>
      </c>
      <c r="H112" s="44">
        <v>0</v>
      </c>
      <c r="I112" s="44">
        <v>0</v>
      </c>
      <c r="J112" s="44">
        <v>0</v>
      </c>
      <c r="K112" s="44">
        <v>0</v>
      </c>
      <c r="L112" s="44">
        <v>0</v>
      </c>
      <c r="M112" s="44">
        <v>8</v>
      </c>
      <c r="N112" s="44">
        <v>0</v>
      </c>
      <c r="O112" s="44">
        <v>0</v>
      </c>
      <c r="P112" s="44">
        <v>0</v>
      </c>
      <c r="Q112" s="44">
        <v>0</v>
      </c>
      <c r="R112" s="44">
        <v>0</v>
      </c>
      <c r="S112" s="44">
        <v>0</v>
      </c>
      <c r="T112" s="44">
        <v>0</v>
      </c>
      <c r="U112" s="44">
        <v>0</v>
      </c>
      <c r="V112" s="44">
        <v>8</v>
      </c>
      <c r="W112" s="39">
        <v>1</v>
      </c>
      <c r="X112"/>
    </row>
    <row r="113" spans="1:24" ht="15" x14ac:dyDescent="0.25">
      <c r="A113" s="40"/>
      <c r="B113" s="40"/>
      <c r="C113" s="40"/>
      <c r="D113" s="63" t="s">
        <v>295</v>
      </c>
      <c r="E113" s="64"/>
      <c r="F113" s="64"/>
      <c r="G113" s="65">
        <v>8</v>
      </c>
      <c r="H113" s="66">
        <v>0</v>
      </c>
      <c r="I113" s="66">
        <v>0</v>
      </c>
      <c r="J113" s="66">
        <v>0</v>
      </c>
      <c r="K113" s="66">
        <v>0</v>
      </c>
      <c r="L113" s="66">
        <v>0</v>
      </c>
      <c r="M113" s="66">
        <v>8</v>
      </c>
      <c r="N113" s="66">
        <v>0</v>
      </c>
      <c r="O113" s="66">
        <v>0</v>
      </c>
      <c r="P113" s="66">
        <v>0</v>
      </c>
      <c r="Q113" s="66">
        <v>0</v>
      </c>
      <c r="R113" s="66">
        <v>0</v>
      </c>
      <c r="S113" s="66">
        <v>0</v>
      </c>
      <c r="T113" s="66">
        <v>0</v>
      </c>
      <c r="U113" s="66">
        <v>0</v>
      </c>
      <c r="V113" s="66">
        <v>8</v>
      </c>
      <c r="W113" s="67">
        <v>1</v>
      </c>
      <c r="X113"/>
    </row>
    <row r="114" spans="1:24" ht="15" x14ac:dyDescent="0.25">
      <c r="A114" s="40"/>
      <c r="B114" s="35" t="s">
        <v>249</v>
      </c>
      <c r="C114" s="35">
        <v>52420</v>
      </c>
      <c r="D114" s="35" t="s">
        <v>220</v>
      </c>
      <c r="E114" s="35">
        <v>6089</v>
      </c>
      <c r="F114" s="35" t="s">
        <v>246</v>
      </c>
      <c r="G114" s="43">
        <v>8</v>
      </c>
      <c r="H114" s="44">
        <v>0</v>
      </c>
      <c r="I114" s="44">
        <v>0</v>
      </c>
      <c r="J114" s="44">
        <v>0</v>
      </c>
      <c r="K114" s="44">
        <v>0</v>
      </c>
      <c r="L114" s="44">
        <v>8</v>
      </c>
      <c r="M114" s="44">
        <v>0</v>
      </c>
      <c r="N114" s="44">
        <v>0</v>
      </c>
      <c r="O114" s="44">
        <v>0</v>
      </c>
      <c r="P114" s="44">
        <v>0</v>
      </c>
      <c r="Q114" s="44">
        <v>0</v>
      </c>
      <c r="R114" s="44">
        <v>0</v>
      </c>
      <c r="S114" s="44">
        <v>0</v>
      </c>
      <c r="T114" s="44">
        <v>0</v>
      </c>
      <c r="U114" s="44">
        <v>0</v>
      </c>
      <c r="V114" s="44">
        <v>8</v>
      </c>
      <c r="W114" s="39">
        <v>1</v>
      </c>
      <c r="X114"/>
    </row>
    <row r="115" spans="1:24" ht="15" x14ac:dyDescent="0.25">
      <c r="A115" s="40"/>
      <c r="B115" s="40"/>
      <c r="C115" s="40"/>
      <c r="D115" s="63" t="s">
        <v>295</v>
      </c>
      <c r="E115" s="64"/>
      <c r="F115" s="64"/>
      <c r="G115" s="65">
        <v>8</v>
      </c>
      <c r="H115" s="66">
        <v>0</v>
      </c>
      <c r="I115" s="66">
        <v>0</v>
      </c>
      <c r="J115" s="66">
        <v>0</v>
      </c>
      <c r="K115" s="66">
        <v>0</v>
      </c>
      <c r="L115" s="66">
        <v>8</v>
      </c>
      <c r="M115" s="66">
        <v>0</v>
      </c>
      <c r="N115" s="66">
        <v>0</v>
      </c>
      <c r="O115" s="66">
        <v>0</v>
      </c>
      <c r="P115" s="66">
        <v>0</v>
      </c>
      <c r="Q115" s="66">
        <v>0</v>
      </c>
      <c r="R115" s="66">
        <v>0</v>
      </c>
      <c r="S115" s="66">
        <v>0</v>
      </c>
      <c r="T115" s="66">
        <v>0</v>
      </c>
      <c r="U115" s="66">
        <v>0</v>
      </c>
      <c r="V115" s="66">
        <v>8</v>
      </c>
      <c r="W115" s="67">
        <v>1</v>
      </c>
      <c r="X115"/>
    </row>
    <row r="116" spans="1:24" ht="15" x14ac:dyDescent="0.25">
      <c r="A116" s="40"/>
      <c r="B116" s="35" t="s">
        <v>250</v>
      </c>
      <c r="C116" s="35">
        <v>970</v>
      </c>
      <c r="D116" s="35" t="s">
        <v>244</v>
      </c>
      <c r="E116" s="35">
        <v>6089</v>
      </c>
      <c r="F116" s="35" t="s">
        <v>246</v>
      </c>
      <c r="G116" s="43">
        <v>12</v>
      </c>
      <c r="H116" s="44">
        <v>0</v>
      </c>
      <c r="I116" s="44">
        <v>0</v>
      </c>
      <c r="J116" s="44">
        <v>0</v>
      </c>
      <c r="K116" s="44">
        <v>0</v>
      </c>
      <c r="L116" s="44">
        <v>0</v>
      </c>
      <c r="M116" s="44">
        <v>0</v>
      </c>
      <c r="N116" s="44">
        <v>0</v>
      </c>
      <c r="O116" s="44">
        <v>0</v>
      </c>
      <c r="P116" s="44">
        <v>0</v>
      </c>
      <c r="Q116" s="44">
        <v>0</v>
      </c>
      <c r="R116" s="44">
        <v>0</v>
      </c>
      <c r="S116" s="44">
        <v>12</v>
      </c>
      <c r="T116" s="44">
        <v>0</v>
      </c>
      <c r="U116" s="44">
        <v>0</v>
      </c>
      <c r="V116" s="44">
        <v>12</v>
      </c>
      <c r="W116" s="39">
        <v>1</v>
      </c>
      <c r="X116"/>
    </row>
    <row r="117" spans="1:24" ht="15" x14ac:dyDescent="0.25">
      <c r="A117" s="40"/>
      <c r="B117" s="40"/>
      <c r="C117" s="40"/>
      <c r="D117" s="63" t="s">
        <v>308</v>
      </c>
      <c r="E117" s="64"/>
      <c r="F117" s="64"/>
      <c r="G117" s="65">
        <v>12</v>
      </c>
      <c r="H117" s="66">
        <v>0</v>
      </c>
      <c r="I117" s="66">
        <v>0</v>
      </c>
      <c r="J117" s="66">
        <v>0</v>
      </c>
      <c r="K117" s="66">
        <v>0</v>
      </c>
      <c r="L117" s="66">
        <v>0</v>
      </c>
      <c r="M117" s="66">
        <v>0</v>
      </c>
      <c r="N117" s="66">
        <v>0</v>
      </c>
      <c r="O117" s="66">
        <v>0</v>
      </c>
      <c r="P117" s="66">
        <v>0</v>
      </c>
      <c r="Q117" s="66">
        <v>0</v>
      </c>
      <c r="R117" s="66">
        <v>0</v>
      </c>
      <c r="S117" s="66">
        <v>12</v>
      </c>
      <c r="T117" s="66">
        <v>0</v>
      </c>
      <c r="U117" s="66">
        <v>0</v>
      </c>
      <c r="V117" s="66">
        <v>12</v>
      </c>
      <c r="W117" s="67">
        <v>1</v>
      </c>
      <c r="X117"/>
    </row>
    <row r="118" spans="1:24" ht="15" x14ac:dyDescent="0.25">
      <c r="A118" s="40"/>
      <c r="B118" s="35" t="s">
        <v>251</v>
      </c>
      <c r="C118" s="35">
        <v>1154</v>
      </c>
      <c r="D118" s="35" t="s">
        <v>212</v>
      </c>
      <c r="E118" s="35">
        <v>5632</v>
      </c>
      <c r="F118" s="35" t="s">
        <v>98</v>
      </c>
      <c r="G118" s="43">
        <v>3</v>
      </c>
      <c r="H118" s="44">
        <v>0</v>
      </c>
      <c r="I118" s="44">
        <v>0</v>
      </c>
      <c r="J118" s="44">
        <v>0</v>
      </c>
      <c r="K118" s="44">
        <v>0</v>
      </c>
      <c r="L118" s="44">
        <v>0</v>
      </c>
      <c r="M118" s="44">
        <v>0</v>
      </c>
      <c r="N118" s="44">
        <v>0</v>
      </c>
      <c r="O118" s="44">
        <v>0</v>
      </c>
      <c r="P118" s="44">
        <v>0</v>
      </c>
      <c r="Q118" s="44">
        <v>0</v>
      </c>
      <c r="R118" s="44">
        <v>0</v>
      </c>
      <c r="S118" s="44">
        <v>0</v>
      </c>
      <c r="T118" s="44">
        <v>0</v>
      </c>
      <c r="U118" s="44">
        <v>3</v>
      </c>
      <c r="V118" s="44">
        <v>3</v>
      </c>
      <c r="W118" s="39">
        <v>1</v>
      </c>
      <c r="X118"/>
    </row>
    <row r="119" spans="1:24" ht="15" x14ac:dyDescent="0.25">
      <c r="A119" s="40"/>
      <c r="B119" s="40"/>
      <c r="C119" s="40"/>
      <c r="D119" s="63" t="s">
        <v>307</v>
      </c>
      <c r="E119" s="64"/>
      <c r="F119" s="64"/>
      <c r="G119" s="65">
        <v>3</v>
      </c>
      <c r="H119" s="66">
        <v>0</v>
      </c>
      <c r="I119" s="66">
        <v>0</v>
      </c>
      <c r="J119" s="66">
        <v>0</v>
      </c>
      <c r="K119" s="66">
        <v>0</v>
      </c>
      <c r="L119" s="66">
        <v>0</v>
      </c>
      <c r="M119" s="66">
        <v>0</v>
      </c>
      <c r="N119" s="66">
        <v>0</v>
      </c>
      <c r="O119" s="66">
        <v>0</v>
      </c>
      <c r="P119" s="66">
        <v>0</v>
      </c>
      <c r="Q119" s="66">
        <v>0</v>
      </c>
      <c r="R119" s="66">
        <v>0</v>
      </c>
      <c r="S119" s="66">
        <v>0</v>
      </c>
      <c r="T119" s="66">
        <v>0</v>
      </c>
      <c r="U119" s="66">
        <v>3</v>
      </c>
      <c r="V119" s="66">
        <v>3</v>
      </c>
      <c r="W119" s="67">
        <v>1</v>
      </c>
      <c r="X119"/>
    </row>
    <row r="120" spans="1:24" ht="15" x14ac:dyDescent="0.25">
      <c r="A120" s="40"/>
      <c r="B120" s="35" t="s">
        <v>252</v>
      </c>
      <c r="C120" s="35">
        <v>51482</v>
      </c>
      <c r="D120" s="35" t="s">
        <v>212</v>
      </c>
      <c r="E120" s="35">
        <v>5632</v>
      </c>
      <c r="F120" s="35" t="s">
        <v>98</v>
      </c>
      <c r="G120" s="43">
        <v>3</v>
      </c>
      <c r="H120" s="44">
        <v>0</v>
      </c>
      <c r="I120" s="44">
        <v>0</v>
      </c>
      <c r="J120" s="44">
        <v>0</v>
      </c>
      <c r="K120" s="44">
        <v>3</v>
      </c>
      <c r="L120" s="44">
        <v>0</v>
      </c>
      <c r="M120" s="44">
        <v>0</v>
      </c>
      <c r="N120" s="44">
        <v>0</v>
      </c>
      <c r="O120" s="44">
        <v>0</v>
      </c>
      <c r="P120" s="44">
        <v>0</v>
      </c>
      <c r="Q120" s="44">
        <v>0</v>
      </c>
      <c r="R120" s="44">
        <v>0</v>
      </c>
      <c r="S120" s="44">
        <v>0</v>
      </c>
      <c r="T120" s="44">
        <v>0</v>
      </c>
      <c r="U120" s="44">
        <v>0</v>
      </c>
      <c r="V120" s="44">
        <v>3</v>
      </c>
      <c r="W120" s="39">
        <v>1</v>
      </c>
      <c r="X120"/>
    </row>
    <row r="121" spans="1:24" ht="15" x14ac:dyDescent="0.25">
      <c r="A121" s="40"/>
      <c r="B121" s="40"/>
      <c r="C121" s="40"/>
      <c r="D121" s="63" t="s">
        <v>307</v>
      </c>
      <c r="E121" s="64"/>
      <c r="F121" s="64"/>
      <c r="G121" s="65">
        <v>3</v>
      </c>
      <c r="H121" s="66">
        <v>0</v>
      </c>
      <c r="I121" s="66">
        <v>0</v>
      </c>
      <c r="J121" s="66">
        <v>0</v>
      </c>
      <c r="K121" s="66">
        <v>3</v>
      </c>
      <c r="L121" s="66">
        <v>0</v>
      </c>
      <c r="M121" s="66">
        <v>0</v>
      </c>
      <c r="N121" s="66">
        <v>0</v>
      </c>
      <c r="O121" s="66">
        <v>0</v>
      </c>
      <c r="P121" s="66">
        <v>0</v>
      </c>
      <c r="Q121" s="66">
        <v>0</v>
      </c>
      <c r="R121" s="66">
        <v>0</v>
      </c>
      <c r="S121" s="66">
        <v>0</v>
      </c>
      <c r="T121" s="66">
        <v>0</v>
      </c>
      <c r="U121" s="66">
        <v>0</v>
      </c>
      <c r="V121" s="66">
        <v>3</v>
      </c>
      <c r="W121" s="67">
        <v>1</v>
      </c>
      <c r="X121"/>
    </row>
    <row r="122" spans="1:24" ht="15" x14ac:dyDescent="0.25">
      <c r="A122" s="40"/>
      <c r="B122" s="35" t="s">
        <v>253</v>
      </c>
      <c r="C122" s="35">
        <v>54152</v>
      </c>
      <c r="D122" s="35" t="s">
        <v>212</v>
      </c>
      <c r="E122" s="35">
        <v>5632</v>
      </c>
      <c r="F122" s="35" t="s">
        <v>98</v>
      </c>
      <c r="G122" s="43">
        <v>3</v>
      </c>
      <c r="H122" s="44">
        <v>0</v>
      </c>
      <c r="I122" s="44">
        <v>0</v>
      </c>
      <c r="J122" s="44">
        <v>0</v>
      </c>
      <c r="K122" s="44">
        <v>0</v>
      </c>
      <c r="L122" s="44">
        <v>0</v>
      </c>
      <c r="M122" s="44">
        <v>0</v>
      </c>
      <c r="N122" s="44">
        <v>0</v>
      </c>
      <c r="O122" s="44">
        <v>0</v>
      </c>
      <c r="P122" s="44">
        <v>0</v>
      </c>
      <c r="Q122" s="44">
        <v>0</v>
      </c>
      <c r="R122" s="44">
        <v>3</v>
      </c>
      <c r="S122" s="44">
        <v>0</v>
      </c>
      <c r="T122" s="44">
        <v>0</v>
      </c>
      <c r="U122" s="44">
        <v>0</v>
      </c>
      <c r="V122" s="44">
        <v>3</v>
      </c>
      <c r="W122" s="39">
        <v>1</v>
      </c>
      <c r="X122"/>
    </row>
    <row r="123" spans="1:24" ht="15" x14ac:dyDescent="0.25">
      <c r="A123" s="40"/>
      <c r="B123" s="40"/>
      <c r="C123" s="40"/>
      <c r="D123" s="63" t="s">
        <v>307</v>
      </c>
      <c r="E123" s="64"/>
      <c r="F123" s="64"/>
      <c r="G123" s="65">
        <v>3</v>
      </c>
      <c r="H123" s="66">
        <v>0</v>
      </c>
      <c r="I123" s="66">
        <v>0</v>
      </c>
      <c r="J123" s="66">
        <v>0</v>
      </c>
      <c r="K123" s="66">
        <v>0</v>
      </c>
      <c r="L123" s="66">
        <v>0</v>
      </c>
      <c r="M123" s="66">
        <v>0</v>
      </c>
      <c r="N123" s="66">
        <v>0</v>
      </c>
      <c r="O123" s="66">
        <v>0</v>
      </c>
      <c r="P123" s="66">
        <v>0</v>
      </c>
      <c r="Q123" s="66">
        <v>0</v>
      </c>
      <c r="R123" s="66">
        <v>3</v>
      </c>
      <c r="S123" s="66">
        <v>0</v>
      </c>
      <c r="T123" s="66">
        <v>0</v>
      </c>
      <c r="U123" s="66">
        <v>0</v>
      </c>
      <c r="V123" s="66">
        <v>3</v>
      </c>
      <c r="W123" s="67">
        <v>1</v>
      </c>
      <c r="X123"/>
    </row>
    <row r="124" spans="1:24" ht="15" x14ac:dyDescent="0.25">
      <c r="A124" s="40"/>
      <c r="B124" s="35" t="s">
        <v>254</v>
      </c>
      <c r="C124" s="35">
        <v>53071</v>
      </c>
      <c r="D124" s="35" t="s">
        <v>214</v>
      </c>
      <c r="E124" s="35">
        <v>6086</v>
      </c>
      <c r="F124" s="35" t="s">
        <v>98</v>
      </c>
      <c r="G124" s="43">
        <v>6</v>
      </c>
      <c r="H124" s="44">
        <v>0</v>
      </c>
      <c r="I124" s="44">
        <v>0</v>
      </c>
      <c r="J124" s="44">
        <v>0</v>
      </c>
      <c r="K124" s="44">
        <v>0</v>
      </c>
      <c r="L124" s="44">
        <v>0</v>
      </c>
      <c r="M124" s="44">
        <v>0</v>
      </c>
      <c r="N124" s="44">
        <v>6</v>
      </c>
      <c r="O124" s="44">
        <v>0</v>
      </c>
      <c r="P124" s="44">
        <v>0</v>
      </c>
      <c r="Q124" s="44">
        <v>0</v>
      </c>
      <c r="R124" s="44">
        <v>0</v>
      </c>
      <c r="S124" s="44">
        <v>0</v>
      </c>
      <c r="T124" s="44">
        <v>0</v>
      </c>
      <c r="U124" s="44">
        <v>0</v>
      </c>
      <c r="V124" s="44">
        <v>6</v>
      </c>
      <c r="W124" s="39">
        <v>1</v>
      </c>
      <c r="X124"/>
    </row>
    <row r="125" spans="1:24" ht="15" x14ac:dyDescent="0.25">
      <c r="A125" s="40"/>
      <c r="B125" s="40"/>
      <c r="C125" s="40"/>
      <c r="D125" s="63" t="s">
        <v>301</v>
      </c>
      <c r="E125" s="64"/>
      <c r="F125" s="64"/>
      <c r="G125" s="65">
        <v>6</v>
      </c>
      <c r="H125" s="66">
        <v>0</v>
      </c>
      <c r="I125" s="66">
        <v>0</v>
      </c>
      <c r="J125" s="66">
        <v>0</v>
      </c>
      <c r="K125" s="66">
        <v>0</v>
      </c>
      <c r="L125" s="66">
        <v>0</v>
      </c>
      <c r="M125" s="66">
        <v>0</v>
      </c>
      <c r="N125" s="66">
        <v>6</v>
      </c>
      <c r="O125" s="66">
        <v>0</v>
      </c>
      <c r="P125" s="66">
        <v>0</v>
      </c>
      <c r="Q125" s="66">
        <v>0</v>
      </c>
      <c r="R125" s="66">
        <v>0</v>
      </c>
      <c r="S125" s="66">
        <v>0</v>
      </c>
      <c r="T125" s="66">
        <v>0</v>
      </c>
      <c r="U125" s="66">
        <v>0</v>
      </c>
      <c r="V125" s="66">
        <v>6</v>
      </c>
      <c r="W125" s="67">
        <v>1</v>
      </c>
      <c r="X125"/>
    </row>
    <row r="126" spans="1:24" ht="15" x14ac:dyDescent="0.25">
      <c r="A126" s="40"/>
      <c r="B126" s="35" t="s">
        <v>255</v>
      </c>
      <c r="C126" s="35">
        <v>53522</v>
      </c>
      <c r="D126" s="35" t="s">
        <v>214</v>
      </c>
      <c r="E126" s="35">
        <v>6086</v>
      </c>
      <c r="F126" s="35" t="s">
        <v>98</v>
      </c>
      <c r="G126" s="43">
        <v>6</v>
      </c>
      <c r="H126" s="44">
        <v>0</v>
      </c>
      <c r="I126" s="44">
        <v>0</v>
      </c>
      <c r="J126" s="44">
        <v>0</v>
      </c>
      <c r="K126" s="44">
        <v>0</v>
      </c>
      <c r="L126" s="44">
        <v>0</v>
      </c>
      <c r="M126" s="44">
        <v>0</v>
      </c>
      <c r="N126" s="44">
        <v>0</v>
      </c>
      <c r="O126" s="44">
        <v>0</v>
      </c>
      <c r="P126" s="44">
        <v>6</v>
      </c>
      <c r="Q126" s="44">
        <v>0</v>
      </c>
      <c r="R126" s="44">
        <v>0</v>
      </c>
      <c r="S126" s="44">
        <v>0</v>
      </c>
      <c r="T126" s="44">
        <v>0</v>
      </c>
      <c r="U126" s="44">
        <v>0</v>
      </c>
      <c r="V126" s="44">
        <v>6</v>
      </c>
      <c r="W126" s="39">
        <v>1</v>
      </c>
      <c r="X126"/>
    </row>
    <row r="127" spans="1:24" ht="15" x14ac:dyDescent="0.25">
      <c r="A127" s="40"/>
      <c r="B127" s="40"/>
      <c r="C127" s="40"/>
      <c r="D127" s="63" t="s">
        <v>301</v>
      </c>
      <c r="E127" s="64"/>
      <c r="F127" s="64"/>
      <c r="G127" s="65">
        <v>6</v>
      </c>
      <c r="H127" s="66">
        <v>0</v>
      </c>
      <c r="I127" s="66">
        <v>0</v>
      </c>
      <c r="J127" s="66">
        <v>0</v>
      </c>
      <c r="K127" s="66">
        <v>0</v>
      </c>
      <c r="L127" s="66">
        <v>0</v>
      </c>
      <c r="M127" s="66">
        <v>0</v>
      </c>
      <c r="N127" s="66">
        <v>0</v>
      </c>
      <c r="O127" s="66">
        <v>0</v>
      </c>
      <c r="P127" s="66">
        <v>6</v>
      </c>
      <c r="Q127" s="66">
        <v>0</v>
      </c>
      <c r="R127" s="66">
        <v>0</v>
      </c>
      <c r="S127" s="66">
        <v>0</v>
      </c>
      <c r="T127" s="66">
        <v>0</v>
      </c>
      <c r="U127" s="66">
        <v>0</v>
      </c>
      <c r="V127" s="66">
        <v>6</v>
      </c>
      <c r="W127" s="67">
        <v>1</v>
      </c>
      <c r="X127"/>
    </row>
    <row r="128" spans="1:24" ht="15" x14ac:dyDescent="0.25">
      <c r="A128" s="40"/>
      <c r="B128" s="35" t="s">
        <v>256</v>
      </c>
      <c r="C128" s="35">
        <v>53782</v>
      </c>
      <c r="D128" s="35" t="s">
        <v>214</v>
      </c>
      <c r="E128" s="35">
        <v>6086</v>
      </c>
      <c r="F128" s="35" t="s">
        <v>98</v>
      </c>
      <c r="G128" s="43">
        <v>6</v>
      </c>
      <c r="H128" s="44">
        <v>0</v>
      </c>
      <c r="I128" s="44">
        <v>0</v>
      </c>
      <c r="J128" s="44">
        <v>0</v>
      </c>
      <c r="K128" s="44">
        <v>0</v>
      </c>
      <c r="L128" s="44">
        <v>0</v>
      </c>
      <c r="M128" s="44">
        <v>0</v>
      </c>
      <c r="N128" s="44">
        <v>0</v>
      </c>
      <c r="O128" s="44">
        <v>0</v>
      </c>
      <c r="P128" s="44">
        <v>0</v>
      </c>
      <c r="Q128" s="44">
        <v>6</v>
      </c>
      <c r="R128" s="44">
        <v>0</v>
      </c>
      <c r="S128" s="44">
        <v>0</v>
      </c>
      <c r="T128" s="44">
        <v>0</v>
      </c>
      <c r="U128" s="44">
        <v>0</v>
      </c>
      <c r="V128" s="44">
        <v>6</v>
      </c>
      <c r="W128" s="39">
        <v>1</v>
      </c>
      <c r="X128"/>
    </row>
    <row r="129" spans="1:24" ht="15" x14ac:dyDescent="0.25">
      <c r="A129" s="40"/>
      <c r="B129" s="40"/>
      <c r="C129" s="40"/>
      <c r="D129" s="63" t="s">
        <v>301</v>
      </c>
      <c r="E129" s="64"/>
      <c r="F129" s="64"/>
      <c r="G129" s="65">
        <v>6</v>
      </c>
      <c r="H129" s="66">
        <v>0</v>
      </c>
      <c r="I129" s="66">
        <v>0</v>
      </c>
      <c r="J129" s="66">
        <v>0</v>
      </c>
      <c r="K129" s="66">
        <v>0</v>
      </c>
      <c r="L129" s="66">
        <v>0</v>
      </c>
      <c r="M129" s="66">
        <v>0</v>
      </c>
      <c r="N129" s="66">
        <v>0</v>
      </c>
      <c r="O129" s="66">
        <v>0</v>
      </c>
      <c r="P129" s="66">
        <v>0</v>
      </c>
      <c r="Q129" s="66">
        <v>6</v>
      </c>
      <c r="R129" s="66">
        <v>0</v>
      </c>
      <c r="S129" s="66">
        <v>0</v>
      </c>
      <c r="T129" s="66">
        <v>0</v>
      </c>
      <c r="U129" s="66">
        <v>0</v>
      </c>
      <c r="V129" s="66">
        <v>6</v>
      </c>
      <c r="W129" s="67">
        <v>1</v>
      </c>
      <c r="X129"/>
    </row>
    <row r="130" spans="1:24" ht="15" x14ac:dyDescent="0.25">
      <c r="A130" s="40"/>
      <c r="B130" s="35" t="s">
        <v>163</v>
      </c>
      <c r="C130" s="35">
        <v>51996</v>
      </c>
      <c r="D130" s="35" t="s">
        <v>220</v>
      </c>
      <c r="E130" s="35">
        <v>6089</v>
      </c>
      <c r="F130" s="35" t="s">
        <v>98</v>
      </c>
      <c r="G130" s="43">
        <v>10</v>
      </c>
      <c r="H130" s="44">
        <v>0</v>
      </c>
      <c r="I130" s="44">
        <v>0</v>
      </c>
      <c r="J130" s="44">
        <v>0</v>
      </c>
      <c r="K130" s="44">
        <v>0</v>
      </c>
      <c r="L130" s="44">
        <v>10</v>
      </c>
      <c r="M130" s="44">
        <v>0</v>
      </c>
      <c r="N130" s="44">
        <v>0</v>
      </c>
      <c r="O130" s="44">
        <v>0</v>
      </c>
      <c r="P130" s="44">
        <v>0</v>
      </c>
      <c r="Q130" s="44">
        <v>0</v>
      </c>
      <c r="R130" s="44">
        <v>0</v>
      </c>
      <c r="S130" s="44">
        <v>0</v>
      </c>
      <c r="T130" s="44">
        <v>0</v>
      </c>
      <c r="U130" s="44">
        <v>0</v>
      </c>
      <c r="V130" s="44">
        <v>10</v>
      </c>
      <c r="W130" s="39">
        <v>1</v>
      </c>
      <c r="X130"/>
    </row>
    <row r="131" spans="1:24" ht="15" x14ac:dyDescent="0.25">
      <c r="A131" s="40"/>
      <c r="B131" s="40"/>
      <c r="C131" s="40"/>
      <c r="D131" s="63" t="s">
        <v>295</v>
      </c>
      <c r="E131" s="64"/>
      <c r="F131" s="64"/>
      <c r="G131" s="65">
        <v>10</v>
      </c>
      <c r="H131" s="66">
        <v>0</v>
      </c>
      <c r="I131" s="66">
        <v>0</v>
      </c>
      <c r="J131" s="66">
        <v>0</v>
      </c>
      <c r="K131" s="66">
        <v>0</v>
      </c>
      <c r="L131" s="66">
        <v>10</v>
      </c>
      <c r="M131" s="66">
        <v>0</v>
      </c>
      <c r="N131" s="66">
        <v>0</v>
      </c>
      <c r="O131" s="66">
        <v>0</v>
      </c>
      <c r="P131" s="66">
        <v>0</v>
      </c>
      <c r="Q131" s="66">
        <v>0</v>
      </c>
      <c r="R131" s="66">
        <v>0</v>
      </c>
      <c r="S131" s="66">
        <v>0</v>
      </c>
      <c r="T131" s="66">
        <v>0</v>
      </c>
      <c r="U131" s="66">
        <v>0</v>
      </c>
      <c r="V131" s="66">
        <v>10</v>
      </c>
      <c r="W131" s="67">
        <v>1</v>
      </c>
      <c r="X131"/>
    </row>
    <row r="132" spans="1:24" ht="15" x14ac:dyDescent="0.25">
      <c r="A132" s="40"/>
      <c r="B132" s="35" t="s">
        <v>257</v>
      </c>
      <c r="C132" s="35">
        <v>960</v>
      </c>
      <c r="D132" s="35" t="s">
        <v>244</v>
      </c>
      <c r="E132" s="35">
        <v>6089</v>
      </c>
      <c r="F132" s="35" t="s">
        <v>98</v>
      </c>
      <c r="G132" s="43">
        <v>11</v>
      </c>
      <c r="H132" s="44">
        <v>0</v>
      </c>
      <c r="I132" s="44">
        <v>0</v>
      </c>
      <c r="J132" s="44">
        <v>0</v>
      </c>
      <c r="K132" s="44">
        <v>0</v>
      </c>
      <c r="L132" s="44">
        <v>0</v>
      </c>
      <c r="M132" s="44">
        <v>0</v>
      </c>
      <c r="N132" s="44">
        <v>0</v>
      </c>
      <c r="O132" s="44">
        <v>0</v>
      </c>
      <c r="P132" s="44">
        <v>0</v>
      </c>
      <c r="Q132" s="44">
        <v>0</v>
      </c>
      <c r="R132" s="44">
        <v>0</v>
      </c>
      <c r="S132" s="44">
        <v>11</v>
      </c>
      <c r="T132" s="44">
        <v>0</v>
      </c>
      <c r="U132" s="44">
        <v>0</v>
      </c>
      <c r="V132" s="44">
        <v>11</v>
      </c>
      <c r="W132" s="39">
        <v>1</v>
      </c>
      <c r="X132"/>
    </row>
    <row r="133" spans="1:24" ht="15" x14ac:dyDescent="0.25">
      <c r="A133" s="40"/>
      <c r="B133" s="40"/>
      <c r="C133" s="40"/>
      <c r="D133" s="63" t="s">
        <v>308</v>
      </c>
      <c r="E133" s="64"/>
      <c r="F133" s="64"/>
      <c r="G133" s="65">
        <v>11</v>
      </c>
      <c r="H133" s="66">
        <v>0</v>
      </c>
      <c r="I133" s="66">
        <v>0</v>
      </c>
      <c r="J133" s="66">
        <v>0</v>
      </c>
      <c r="K133" s="66">
        <v>0</v>
      </c>
      <c r="L133" s="66">
        <v>0</v>
      </c>
      <c r="M133" s="66">
        <v>0</v>
      </c>
      <c r="N133" s="66">
        <v>0</v>
      </c>
      <c r="O133" s="66">
        <v>0</v>
      </c>
      <c r="P133" s="66">
        <v>0</v>
      </c>
      <c r="Q133" s="66">
        <v>0</v>
      </c>
      <c r="R133" s="66">
        <v>0</v>
      </c>
      <c r="S133" s="66">
        <v>11</v>
      </c>
      <c r="T133" s="66">
        <v>0</v>
      </c>
      <c r="U133" s="66">
        <v>0</v>
      </c>
      <c r="V133" s="66">
        <v>11</v>
      </c>
      <c r="W133" s="67">
        <v>1</v>
      </c>
      <c r="X133"/>
    </row>
    <row r="134" spans="1:24" ht="15" x14ac:dyDescent="0.25">
      <c r="A134" s="40"/>
      <c r="B134" s="35" t="s">
        <v>258</v>
      </c>
      <c r="C134" s="35">
        <v>1197</v>
      </c>
      <c r="D134" s="35" t="s">
        <v>244</v>
      </c>
      <c r="E134" s="35">
        <v>6089</v>
      </c>
      <c r="F134" s="35" t="s">
        <v>98</v>
      </c>
      <c r="G134" s="43">
        <v>8</v>
      </c>
      <c r="H134" s="44">
        <v>0</v>
      </c>
      <c r="I134" s="44">
        <v>0</v>
      </c>
      <c r="J134" s="44">
        <v>0</v>
      </c>
      <c r="K134" s="44">
        <v>0</v>
      </c>
      <c r="L134" s="44">
        <v>0</v>
      </c>
      <c r="M134" s="44">
        <v>0</v>
      </c>
      <c r="N134" s="44">
        <v>0</v>
      </c>
      <c r="O134" s="44">
        <v>0</v>
      </c>
      <c r="P134" s="44">
        <v>0</v>
      </c>
      <c r="Q134" s="44">
        <v>0</v>
      </c>
      <c r="R134" s="44">
        <v>0</v>
      </c>
      <c r="S134" s="44">
        <v>0</v>
      </c>
      <c r="T134" s="44">
        <v>0</v>
      </c>
      <c r="U134" s="44">
        <v>8</v>
      </c>
      <c r="V134" s="44">
        <v>8</v>
      </c>
      <c r="W134" s="39">
        <v>1</v>
      </c>
      <c r="X134"/>
    </row>
    <row r="135" spans="1:24" ht="15" x14ac:dyDescent="0.25">
      <c r="A135" s="40"/>
      <c r="B135" s="40"/>
      <c r="C135" s="40"/>
      <c r="D135" s="63" t="s">
        <v>308</v>
      </c>
      <c r="E135" s="64"/>
      <c r="F135" s="64"/>
      <c r="G135" s="65">
        <v>8</v>
      </c>
      <c r="H135" s="66">
        <v>0</v>
      </c>
      <c r="I135" s="66">
        <v>0</v>
      </c>
      <c r="J135" s="66">
        <v>0</v>
      </c>
      <c r="K135" s="66">
        <v>0</v>
      </c>
      <c r="L135" s="66">
        <v>0</v>
      </c>
      <c r="M135" s="66">
        <v>0</v>
      </c>
      <c r="N135" s="66">
        <v>0</v>
      </c>
      <c r="O135" s="66">
        <v>0</v>
      </c>
      <c r="P135" s="66">
        <v>0</v>
      </c>
      <c r="Q135" s="66">
        <v>0</v>
      </c>
      <c r="R135" s="66">
        <v>0</v>
      </c>
      <c r="S135" s="66">
        <v>0</v>
      </c>
      <c r="T135" s="66">
        <v>0</v>
      </c>
      <c r="U135" s="66">
        <v>8</v>
      </c>
      <c r="V135" s="66">
        <v>8</v>
      </c>
      <c r="W135" s="67">
        <v>1</v>
      </c>
      <c r="X135"/>
    </row>
    <row r="136" spans="1:24" ht="15" x14ac:dyDescent="0.25">
      <c r="A136" s="47" t="s">
        <v>101</v>
      </c>
      <c r="B136" s="57"/>
      <c r="C136" s="57"/>
      <c r="D136" s="57"/>
      <c r="E136" s="57"/>
      <c r="F136" s="57"/>
      <c r="G136" s="58">
        <v>181</v>
      </c>
      <c r="H136" s="59">
        <v>0</v>
      </c>
      <c r="I136" s="59">
        <v>0</v>
      </c>
      <c r="J136" s="59">
        <v>0</v>
      </c>
      <c r="K136" s="59">
        <v>3</v>
      </c>
      <c r="L136" s="59">
        <v>29</v>
      </c>
      <c r="M136" s="59">
        <v>8</v>
      </c>
      <c r="N136" s="59">
        <v>9</v>
      </c>
      <c r="O136" s="59">
        <v>15</v>
      </c>
      <c r="P136" s="59">
        <v>6</v>
      </c>
      <c r="Q136" s="59">
        <v>14</v>
      </c>
      <c r="R136" s="59">
        <v>17</v>
      </c>
      <c r="S136" s="59">
        <v>28</v>
      </c>
      <c r="T136" s="59">
        <v>0</v>
      </c>
      <c r="U136" s="59">
        <v>52</v>
      </c>
      <c r="V136" s="59">
        <v>181</v>
      </c>
      <c r="W136" s="60">
        <v>1</v>
      </c>
      <c r="X136"/>
    </row>
    <row r="137" spans="1:24" ht="15" x14ac:dyDescent="0.25">
      <c r="A137" s="35" t="s">
        <v>34</v>
      </c>
      <c r="B137" s="35" t="s">
        <v>95</v>
      </c>
      <c r="C137" s="35" t="s">
        <v>94</v>
      </c>
      <c r="D137" s="35" t="s">
        <v>187</v>
      </c>
      <c r="E137" s="35">
        <v>5627</v>
      </c>
      <c r="F137" s="35" t="s">
        <v>61</v>
      </c>
      <c r="G137" s="43">
        <v>940</v>
      </c>
      <c r="H137" s="44">
        <v>0</v>
      </c>
      <c r="I137" s="44">
        <v>0</v>
      </c>
      <c r="J137" s="44">
        <v>0</v>
      </c>
      <c r="K137" s="44">
        <v>0</v>
      </c>
      <c r="L137" s="44">
        <v>0</v>
      </c>
      <c r="M137" s="44">
        <v>0</v>
      </c>
      <c r="N137" s="44">
        <v>0</v>
      </c>
      <c r="O137" s="44">
        <v>0</v>
      </c>
      <c r="P137" s="44">
        <v>0</v>
      </c>
      <c r="Q137" s="44">
        <v>0</v>
      </c>
      <c r="R137" s="44">
        <v>0</v>
      </c>
      <c r="S137" s="44">
        <v>0</v>
      </c>
      <c r="T137" s="44">
        <v>0</v>
      </c>
      <c r="U137" s="44">
        <v>0</v>
      </c>
      <c r="V137" s="44">
        <v>0</v>
      </c>
      <c r="W137" s="39">
        <v>0</v>
      </c>
      <c r="X137"/>
    </row>
    <row r="138" spans="1:24" ht="15" x14ac:dyDescent="0.25">
      <c r="A138" s="40"/>
      <c r="B138" s="40"/>
      <c r="C138" s="40"/>
      <c r="D138" s="40"/>
      <c r="E138" s="40"/>
      <c r="F138" s="41" t="s">
        <v>64</v>
      </c>
      <c r="G138" s="45">
        <v>0</v>
      </c>
      <c r="H138" s="30">
        <v>0</v>
      </c>
      <c r="I138" s="30">
        <v>0</v>
      </c>
      <c r="J138" s="30">
        <v>0</v>
      </c>
      <c r="K138" s="30">
        <v>0</v>
      </c>
      <c r="L138" s="30">
        <v>0</v>
      </c>
      <c r="M138" s="30">
        <v>0</v>
      </c>
      <c r="N138" s="30">
        <v>0</v>
      </c>
      <c r="O138" s="30">
        <v>0</v>
      </c>
      <c r="P138" s="30">
        <v>0</v>
      </c>
      <c r="Q138" s="30">
        <v>0</v>
      </c>
      <c r="R138" s="30">
        <v>0</v>
      </c>
      <c r="S138" s="30">
        <v>219</v>
      </c>
      <c r="T138" s="30">
        <v>269</v>
      </c>
      <c r="U138" s="30">
        <v>249</v>
      </c>
      <c r="V138" s="30">
        <v>737</v>
      </c>
      <c r="W138" s="42">
        <v>0</v>
      </c>
      <c r="X138"/>
    </row>
    <row r="139" spans="1:24" ht="15" x14ac:dyDescent="0.25">
      <c r="A139" s="40"/>
      <c r="B139" s="40"/>
      <c r="C139" s="40"/>
      <c r="D139" s="40"/>
      <c r="E139" s="40"/>
      <c r="F139" s="41" t="s">
        <v>134</v>
      </c>
      <c r="G139" s="45">
        <v>0</v>
      </c>
      <c r="H139" s="30">
        <v>0</v>
      </c>
      <c r="I139" s="30">
        <v>0</v>
      </c>
      <c r="J139" s="30">
        <v>0</v>
      </c>
      <c r="K139" s="30">
        <v>0</v>
      </c>
      <c r="L139" s="30">
        <v>0</v>
      </c>
      <c r="M139" s="30">
        <v>0</v>
      </c>
      <c r="N139" s="30">
        <v>0</v>
      </c>
      <c r="O139" s="30">
        <v>0</v>
      </c>
      <c r="P139" s="30">
        <v>0</v>
      </c>
      <c r="Q139" s="30">
        <v>0</v>
      </c>
      <c r="R139" s="30">
        <v>0</v>
      </c>
      <c r="S139" s="30">
        <v>0</v>
      </c>
      <c r="T139" s="30">
        <v>1</v>
      </c>
      <c r="U139" s="30">
        <v>0</v>
      </c>
      <c r="V139" s="30">
        <v>1</v>
      </c>
      <c r="W139" s="42">
        <v>0</v>
      </c>
      <c r="X139"/>
    </row>
    <row r="140" spans="1:24" ht="15" x14ac:dyDescent="0.25">
      <c r="A140" s="40"/>
      <c r="B140" s="40"/>
      <c r="C140" s="40"/>
      <c r="D140" s="40"/>
      <c r="E140" s="40"/>
      <c r="F140" s="41" t="s">
        <v>103</v>
      </c>
      <c r="G140" s="45">
        <v>0</v>
      </c>
      <c r="H140" s="30">
        <v>0</v>
      </c>
      <c r="I140" s="30">
        <v>0</v>
      </c>
      <c r="J140" s="30">
        <v>0</v>
      </c>
      <c r="K140" s="30">
        <v>0</v>
      </c>
      <c r="L140" s="30">
        <v>0</v>
      </c>
      <c r="M140" s="30">
        <v>0</v>
      </c>
      <c r="N140" s="30">
        <v>0</v>
      </c>
      <c r="O140" s="30">
        <v>0</v>
      </c>
      <c r="P140" s="30">
        <v>0</v>
      </c>
      <c r="Q140" s="30">
        <v>0</v>
      </c>
      <c r="R140" s="30">
        <v>0</v>
      </c>
      <c r="S140" s="30">
        <v>3</v>
      </c>
      <c r="T140" s="30">
        <v>1</v>
      </c>
      <c r="U140" s="30">
        <v>0</v>
      </c>
      <c r="V140" s="30">
        <v>4</v>
      </c>
      <c r="W140" s="42">
        <v>0</v>
      </c>
      <c r="X140"/>
    </row>
    <row r="141" spans="1:24" ht="15" x14ac:dyDescent="0.25">
      <c r="A141" s="40"/>
      <c r="B141" s="40"/>
      <c r="C141" s="40"/>
      <c r="D141" s="40"/>
      <c r="E141" s="40"/>
      <c r="F141" s="41" t="s">
        <v>104</v>
      </c>
      <c r="G141" s="45">
        <v>0</v>
      </c>
      <c r="H141" s="30">
        <v>0</v>
      </c>
      <c r="I141" s="30">
        <v>0</v>
      </c>
      <c r="J141" s="30">
        <v>0</v>
      </c>
      <c r="K141" s="30">
        <v>0</v>
      </c>
      <c r="L141" s="30">
        <v>0</v>
      </c>
      <c r="M141" s="30">
        <v>0</v>
      </c>
      <c r="N141" s="30">
        <v>0</v>
      </c>
      <c r="O141" s="30">
        <v>0</v>
      </c>
      <c r="P141" s="30">
        <v>0</v>
      </c>
      <c r="Q141" s="30">
        <v>0</v>
      </c>
      <c r="R141" s="30">
        <v>0</v>
      </c>
      <c r="S141" s="30">
        <v>5</v>
      </c>
      <c r="T141" s="30">
        <v>6</v>
      </c>
      <c r="U141" s="30">
        <v>17</v>
      </c>
      <c r="V141" s="30">
        <v>28</v>
      </c>
      <c r="W141" s="42">
        <v>0</v>
      </c>
      <c r="X141"/>
    </row>
    <row r="142" spans="1:24" ht="15" x14ac:dyDescent="0.25">
      <c r="A142" s="40"/>
      <c r="B142" s="40"/>
      <c r="C142" s="40"/>
      <c r="D142" s="40"/>
      <c r="E142" s="40"/>
      <c r="F142" s="41" t="s">
        <v>105</v>
      </c>
      <c r="G142" s="45">
        <v>0</v>
      </c>
      <c r="H142" s="30">
        <v>0</v>
      </c>
      <c r="I142" s="30">
        <v>0</v>
      </c>
      <c r="J142" s="30">
        <v>0</v>
      </c>
      <c r="K142" s="30">
        <v>0</v>
      </c>
      <c r="L142" s="30">
        <v>0</v>
      </c>
      <c r="M142" s="30">
        <v>0</v>
      </c>
      <c r="N142" s="30">
        <v>0</v>
      </c>
      <c r="O142" s="30">
        <v>0</v>
      </c>
      <c r="P142" s="30">
        <v>0</v>
      </c>
      <c r="Q142" s="30">
        <v>0</v>
      </c>
      <c r="R142" s="30">
        <v>0</v>
      </c>
      <c r="S142" s="30">
        <v>2</v>
      </c>
      <c r="T142" s="30">
        <v>4</v>
      </c>
      <c r="U142" s="30">
        <v>4</v>
      </c>
      <c r="V142" s="30">
        <v>10</v>
      </c>
      <c r="W142" s="42">
        <v>0</v>
      </c>
      <c r="X142"/>
    </row>
    <row r="143" spans="1:24" ht="15" x14ac:dyDescent="0.25">
      <c r="A143" s="40"/>
      <c r="B143" s="40"/>
      <c r="C143" s="40"/>
      <c r="D143" s="40"/>
      <c r="E143" s="40"/>
      <c r="F143" s="41" t="s">
        <v>106</v>
      </c>
      <c r="G143" s="45">
        <v>0</v>
      </c>
      <c r="H143" s="30">
        <v>0</v>
      </c>
      <c r="I143" s="30">
        <v>0</v>
      </c>
      <c r="J143" s="30">
        <v>0</v>
      </c>
      <c r="K143" s="30">
        <v>0</v>
      </c>
      <c r="L143" s="30">
        <v>0</v>
      </c>
      <c r="M143" s="30">
        <v>0</v>
      </c>
      <c r="N143" s="30">
        <v>0</v>
      </c>
      <c r="O143" s="30">
        <v>0</v>
      </c>
      <c r="P143" s="30">
        <v>0</v>
      </c>
      <c r="Q143" s="30">
        <v>0</v>
      </c>
      <c r="R143" s="30">
        <v>0</v>
      </c>
      <c r="S143" s="30">
        <v>0</v>
      </c>
      <c r="T143" s="30">
        <v>2</v>
      </c>
      <c r="U143" s="30">
        <v>1</v>
      </c>
      <c r="V143" s="30">
        <v>3</v>
      </c>
      <c r="W143" s="42">
        <v>0</v>
      </c>
      <c r="X143"/>
    </row>
    <row r="144" spans="1:24" ht="15" x14ac:dyDescent="0.25">
      <c r="A144" s="40"/>
      <c r="B144" s="40"/>
      <c r="C144" s="40"/>
      <c r="D144" s="40"/>
      <c r="E144" s="40"/>
      <c r="F144" s="41" t="s">
        <v>107</v>
      </c>
      <c r="G144" s="45">
        <v>0</v>
      </c>
      <c r="H144" s="30">
        <v>0</v>
      </c>
      <c r="I144" s="30">
        <v>0</v>
      </c>
      <c r="J144" s="30">
        <v>0</v>
      </c>
      <c r="K144" s="30">
        <v>0</v>
      </c>
      <c r="L144" s="30">
        <v>0</v>
      </c>
      <c r="M144" s="30">
        <v>0</v>
      </c>
      <c r="N144" s="30">
        <v>0</v>
      </c>
      <c r="O144" s="30">
        <v>0</v>
      </c>
      <c r="P144" s="30">
        <v>0</v>
      </c>
      <c r="Q144" s="30">
        <v>0</v>
      </c>
      <c r="R144" s="30">
        <v>0</v>
      </c>
      <c r="S144" s="30">
        <v>2</v>
      </c>
      <c r="T144" s="30">
        <v>4</v>
      </c>
      <c r="U144" s="30">
        <v>11</v>
      </c>
      <c r="V144" s="30">
        <v>17</v>
      </c>
      <c r="W144" s="42">
        <v>0</v>
      </c>
      <c r="X144"/>
    </row>
    <row r="145" spans="1:24" ht="15" x14ac:dyDescent="0.25">
      <c r="A145" s="40"/>
      <c r="B145" s="40"/>
      <c r="C145" s="40"/>
      <c r="D145" s="40"/>
      <c r="E145" s="40"/>
      <c r="F145" s="41" t="s">
        <v>108</v>
      </c>
      <c r="G145" s="45">
        <v>0</v>
      </c>
      <c r="H145" s="30">
        <v>0</v>
      </c>
      <c r="I145" s="30">
        <v>0</v>
      </c>
      <c r="J145" s="30">
        <v>0</v>
      </c>
      <c r="K145" s="30">
        <v>0</v>
      </c>
      <c r="L145" s="30">
        <v>0</v>
      </c>
      <c r="M145" s="30">
        <v>0</v>
      </c>
      <c r="N145" s="30">
        <v>0</v>
      </c>
      <c r="O145" s="30">
        <v>0</v>
      </c>
      <c r="P145" s="30">
        <v>0</v>
      </c>
      <c r="Q145" s="30">
        <v>0</v>
      </c>
      <c r="R145" s="30">
        <v>0</v>
      </c>
      <c r="S145" s="30">
        <v>0</v>
      </c>
      <c r="T145" s="30">
        <v>0</v>
      </c>
      <c r="U145" s="30">
        <v>1</v>
      </c>
      <c r="V145" s="30">
        <v>1</v>
      </c>
      <c r="W145" s="42">
        <v>0</v>
      </c>
      <c r="X145"/>
    </row>
    <row r="146" spans="1:24" ht="15" x14ac:dyDescent="0.25">
      <c r="A146" s="40"/>
      <c r="B146" s="40"/>
      <c r="C146" s="40"/>
      <c r="D146" s="40"/>
      <c r="E146" s="40"/>
      <c r="F146" s="41" t="s">
        <v>110</v>
      </c>
      <c r="G146" s="45">
        <v>0</v>
      </c>
      <c r="H146" s="30">
        <v>0</v>
      </c>
      <c r="I146" s="30">
        <v>0</v>
      </c>
      <c r="J146" s="30">
        <v>0</v>
      </c>
      <c r="K146" s="30">
        <v>0</v>
      </c>
      <c r="L146" s="30">
        <v>0</v>
      </c>
      <c r="M146" s="30">
        <v>0</v>
      </c>
      <c r="N146" s="30">
        <v>0</v>
      </c>
      <c r="O146" s="30">
        <v>0</v>
      </c>
      <c r="P146" s="30">
        <v>0</v>
      </c>
      <c r="Q146" s="30">
        <v>0</v>
      </c>
      <c r="R146" s="30">
        <v>0</v>
      </c>
      <c r="S146" s="30">
        <v>2</v>
      </c>
      <c r="T146" s="30">
        <v>1</v>
      </c>
      <c r="U146" s="30">
        <v>5</v>
      </c>
      <c r="V146" s="30">
        <v>8</v>
      </c>
      <c r="W146" s="42">
        <v>0</v>
      </c>
      <c r="X146"/>
    </row>
    <row r="147" spans="1:24" ht="15" x14ac:dyDescent="0.25">
      <c r="A147" s="40"/>
      <c r="B147" s="40"/>
      <c r="C147" s="40"/>
      <c r="D147" s="40"/>
      <c r="E147" s="40"/>
      <c r="F147" s="41" t="s">
        <v>111</v>
      </c>
      <c r="G147" s="45">
        <v>0</v>
      </c>
      <c r="H147" s="30">
        <v>0</v>
      </c>
      <c r="I147" s="30">
        <v>0</v>
      </c>
      <c r="J147" s="30">
        <v>0</v>
      </c>
      <c r="K147" s="30">
        <v>0</v>
      </c>
      <c r="L147" s="30">
        <v>0</v>
      </c>
      <c r="M147" s="30">
        <v>0</v>
      </c>
      <c r="N147" s="30">
        <v>0</v>
      </c>
      <c r="O147" s="30">
        <v>0</v>
      </c>
      <c r="P147" s="30">
        <v>0</v>
      </c>
      <c r="Q147" s="30">
        <v>0</v>
      </c>
      <c r="R147" s="30">
        <v>0</v>
      </c>
      <c r="S147" s="30">
        <v>6</v>
      </c>
      <c r="T147" s="30">
        <v>8</v>
      </c>
      <c r="U147" s="30">
        <v>17</v>
      </c>
      <c r="V147" s="30">
        <v>31</v>
      </c>
      <c r="W147" s="42">
        <v>0</v>
      </c>
      <c r="X147"/>
    </row>
    <row r="148" spans="1:24" ht="15" x14ac:dyDescent="0.25">
      <c r="A148" s="40"/>
      <c r="B148" s="40"/>
      <c r="C148" s="40"/>
      <c r="D148" s="40"/>
      <c r="E148" s="40"/>
      <c r="F148" s="41" t="s">
        <v>112</v>
      </c>
      <c r="G148" s="45">
        <v>0</v>
      </c>
      <c r="H148" s="30">
        <v>0</v>
      </c>
      <c r="I148" s="30">
        <v>0</v>
      </c>
      <c r="J148" s="30">
        <v>0</v>
      </c>
      <c r="K148" s="30">
        <v>0</v>
      </c>
      <c r="L148" s="30">
        <v>0</v>
      </c>
      <c r="M148" s="30">
        <v>0</v>
      </c>
      <c r="N148" s="30">
        <v>0</v>
      </c>
      <c r="O148" s="30">
        <v>0</v>
      </c>
      <c r="P148" s="30">
        <v>0</v>
      </c>
      <c r="Q148" s="30">
        <v>0</v>
      </c>
      <c r="R148" s="30">
        <v>0</v>
      </c>
      <c r="S148" s="30">
        <v>126</v>
      </c>
      <c r="T148" s="30">
        <v>283</v>
      </c>
      <c r="U148" s="30">
        <v>403</v>
      </c>
      <c r="V148" s="30">
        <v>812</v>
      </c>
      <c r="W148" s="42">
        <v>0</v>
      </c>
      <c r="X148"/>
    </row>
    <row r="149" spans="1:24" ht="15" x14ac:dyDescent="0.25">
      <c r="A149" s="40"/>
      <c r="B149" s="40"/>
      <c r="C149" s="40"/>
      <c r="D149" s="40"/>
      <c r="E149" s="40"/>
      <c r="F149" s="41" t="s">
        <v>35</v>
      </c>
      <c r="G149" s="45">
        <v>0</v>
      </c>
      <c r="H149" s="30">
        <v>0</v>
      </c>
      <c r="I149" s="30">
        <v>0</v>
      </c>
      <c r="J149" s="30">
        <v>0</v>
      </c>
      <c r="K149" s="30">
        <v>0</v>
      </c>
      <c r="L149" s="30">
        <v>0</v>
      </c>
      <c r="M149" s="30">
        <v>0</v>
      </c>
      <c r="N149" s="30">
        <v>0</v>
      </c>
      <c r="O149" s="30">
        <v>0</v>
      </c>
      <c r="P149" s="30">
        <v>0</v>
      </c>
      <c r="Q149" s="30">
        <v>0</v>
      </c>
      <c r="R149" s="30">
        <v>0</v>
      </c>
      <c r="S149" s="30">
        <v>0</v>
      </c>
      <c r="T149" s="30">
        <v>0</v>
      </c>
      <c r="U149" s="30">
        <v>3</v>
      </c>
      <c r="V149" s="30">
        <v>3</v>
      </c>
      <c r="W149" s="42">
        <v>0</v>
      </c>
      <c r="X149"/>
    </row>
    <row r="150" spans="1:24" ht="15" x14ac:dyDescent="0.25">
      <c r="A150" s="40"/>
      <c r="B150" s="40"/>
      <c r="C150" s="40"/>
      <c r="D150" s="40"/>
      <c r="E150" s="40"/>
      <c r="F150" s="41" t="s">
        <v>109</v>
      </c>
      <c r="G150" s="45">
        <v>0</v>
      </c>
      <c r="H150" s="30">
        <v>0</v>
      </c>
      <c r="I150" s="30">
        <v>0</v>
      </c>
      <c r="J150" s="30">
        <v>0</v>
      </c>
      <c r="K150" s="30">
        <v>0</v>
      </c>
      <c r="L150" s="30">
        <v>0</v>
      </c>
      <c r="M150" s="30">
        <v>0</v>
      </c>
      <c r="N150" s="30">
        <v>0</v>
      </c>
      <c r="O150" s="30">
        <v>0</v>
      </c>
      <c r="P150" s="30">
        <v>0</v>
      </c>
      <c r="Q150" s="30">
        <v>0</v>
      </c>
      <c r="R150" s="30">
        <v>0</v>
      </c>
      <c r="S150" s="30">
        <v>4</v>
      </c>
      <c r="T150" s="30">
        <v>3</v>
      </c>
      <c r="U150" s="30">
        <v>5</v>
      </c>
      <c r="V150" s="30">
        <v>12</v>
      </c>
      <c r="W150" s="42">
        <v>0</v>
      </c>
      <c r="X150"/>
    </row>
    <row r="151" spans="1:24" ht="15" x14ac:dyDescent="0.25">
      <c r="A151" s="40"/>
      <c r="B151" s="40"/>
      <c r="C151" s="40"/>
      <c r="D151" s="63" t="s">
        <v>293</v>
      </c>
      <c r="E151" s="64"/>
      <c r="F151" s="64"/>
      <c r="G151" s="65">
        <v>940</v>
      </c>
      <c r="H151" s="66">
        <v>0</v>
      </c>
      <c r="I151" s="66">
        <v>0</v>
      </c>
      <c r="J151" s="66">
        <v>0</v>
      </c>
      <c r="K151" s="66">
        <v>0</v>
      </c>
      <c r="L151" s="66">
        <v>0</v>
      </c>
      <c r="M151" s="66">
        <v>0</v>
      </c>
      <c r="N151" s="66">
        <v>0</v>
      </c>
      <c r="O151" s="66">
        <v>0</v>
      </c>
      <c r="P151" s="66">
        <v>0</v>
      </c>
      <c r="Q151" s="66">
        <v>0</v>
      </c>
      <c r="R151" s="66">
        <v>0</v>
      </c>
      <c r="S151" s="66">
        <v>369</v>
      </c>
      <c r="T151" s="66">
        <v>582</v>
      </c>
      <c r="U151" s="66">
        <v>716</v>
      </c>
      <c r="V151" s="66">
        <v>1667</v>
      </c>
      <c r="W151" s="67">
        <v>1.7734042553191489</v>
      </c>
      <c r="X151"/>
    </row>
    <row r="152" spans="1:24" ht="15" x14ac:dyDescent="0.25">
      <c r="A152" s="40"/>
      <c r="B152" s="40"/>
      <c r="C152" s="40"/>
      <c r="D152" s="35" t="s">
        <v>189</v>
      </c>
      <c r="E152" s="35">
        <v>5835</v>
      </c>
      <c r="F152" s="35" t="s">
        <v>61</v>
      </c>
      <c r="G152" s="43">
        <v>370</v>
      </c>
      <c r="H152" s="44">
        <v>0</v>
      </c>
      <c r="I152" s="44">
        <v>0</v>
      </c>
      <c r="J152" s="44">
        <v>0</v>
      </c>
      <c r="K152" s="44">
        <v>0</v>
      </c>
      <c r="L152" s="44">
        <v>0</v>
      </c>
      <c r="M152" s="44">
        <v>0</v>
      </c>
      <c r="N152" s="44">
        <v>0</v>
      </c>
      <c r="O152" s="44">
        <v>0</v>
      </c>
      <c r="P152" s="44">
        <v>0</v>
      </c>
      <c r="Q152" s="44">
        <v>0</v>
      </c>
      <c r="R152" s="44">
        <v>0</v>
      </c>
      <c r="S152" s="44">
        <v>0</v>
      </c>
      <c r="T152" s="44">
        <v>0</v>
      </c>
      <c r="U152" s="44">
        <v>0</v>
      </c>
      <c r="V152" s="44">
        <v>0</v>
      </c>
      <c r="W152" s="39">
        <v>0</v>
      </c>
      <c r="X152"/>
    </row>
    <row r="153" spans="1:24" ht="15" x14ac:dyDescent="0.25">
      <c r="A153" s="40"/>
      <c r="B153" s="40"/>
      <c r="C153" s="40"/>
      <c r="D153" s="40"/>
      <c r="E153" s="40"/>
      <c r="F153" s="41" t="s">
        <v>64</v>
      </c>
      <c r="G153" s="45">
        <v>0</v>
      </c>
      <c r="H153" s="30">
        <v>0</v>
      </c>
      <c r="I153" s="30">
        <v>0</v>
      </c>
      <c r="J153" s="30">
        <v>0</v>
      </c>
      <c r="K153" s="30">
        <v>0</v>
      </c>
      <c r="L153" s="30">
        <v>0</v>
      </c>
      <c r="M153" s="30">
        <v>0</v>
      </c>
      <c r="N153" s="30">
        <v>0</v>
      </c>
      <c r="O153" s="30">
        <v>0</v>
      </c>
      <c r="P153" s="30">
        <v>0</v>
      </c>
      <c r="Q153" s="30">
        <v>0</v>
      </c>
      <c r="R153" s="30">
        <v>0</v>
      </c>
      <c r="S153" s="30">
        <v>119</v>
      </c>
      <c r="T153" s="30">
        <v>179</v>
      </c>
      <c r="U153" s="30">
        <v>130</v>
      </c>
      <c r="V153" s="30">
        <v>428</v>
      </c>
      <c r="W153" s="42">
        <v>0</v>
      </c>
      <c r="X153"/>
    </row>
    <row r="154" spans="1:24" ht="15" x14ac:dyDescent="0.25">
      <c r="A154" s="40"/>
      <c r="B154" s="40"/>
      <c r="C154" s="40"/>
      <c r="D154" s="40"/>
      <c r="E154" s="40"/>
      <c r="F154" s="41" t="s">
        <v>112</v>
      </c>
      <c r="G154" s="45">
        <v>0</v>
      </c>
      <c r="H154" s="30">
        <v>0</v>
      </c>
      <c r="I154" s="30">
        <v>0</v>
      </c>
      <c r="J154" s="30">
        <v>0</v>
      </c>
      <c r="K154" s="30">
        <v>0</v>
      </c>
      <c r="L154" s="30">
        <v>0</v>
      </c>
      <c r="M154" s="30">
        <v>0</v>
      </c>
      <c r="N154" s="30">
        <v>0</v>
      </c>
      <c r="O154" s="30">
        <v>0</v>
      </c>
      <c r="P154" s="30">
        <v>0</v>
      </c>
      <c r="Q154" s="30">
        <v>0</v>
      </c>
      <c r="R154" s="30">
        <v>0</v>
      </c>
      <c r="S154" s="30">
        <v>27</v>
      </c>
      <c r="T154" s="30">
        <v>30</v>
      </c>
      <c r="U154" s="30">
        <v>55</v>
      </c>
      <c r="V154" s="30">
        <v>112</v>
      </c>
      <c r="W154" s="42">
        <v>0</v>
      </c>
      <c r="X154"/>
    </row>
    <row r="155" spans="1:24" ht="15" x14ac:dyDescent="0.25">
      <c r="A155" s="40"/>
      <c r="B155" s="40"/>
      <c r="C155" s="40"/>
      <c r="D155" s="63" t="s">
        <v>299</v>
      </c>
      <c r="E155" s="64"/>
      <c r="F155" s="64"/>
      <c r="G155" s="65">
        <v>370</v>
      </c>
      <c r="H155" s="66">
        <v>0</v>
      </c>
      <c r="I155" s="66">
        <v>0</v>
      </c>
      <c r="J155" s="66">
        <v>0</v>
      </c>
      <c r="K155" s="66">
        <v>0</v>
      </c>
      <c r="L155" s="66">
        <v>0</v>
      </c>
      <c r="M155" s="66">
        <v>0</v>
      </c>
      <c r="N155" s="66">
        <v>0</v>
      </c>
      <c r="O155" s="66">
        <v>0</v>
      </c>
      <c r="P155" s="66">
        <v>0</v>
      </c>
      <c r="Q155" s="66">
        <v>0</v>
      </c>
      <c r="R155" s="66">
        <v>0</v>
      </c>
      <c r="S155" s="66">
        <v>146</v>
      </c>
      <c r="T155" s="66">
        <v>209</v>
      </c>
      <c r="U155" s="66">
        <v>185</v>
      </c>
      <c r="V155" s="66">
        <v>540</v>
      </c>
      <c r="W155" s="67">
        <v>1.4594594594594594</v>
      </c>
      <c r="X155"/>
    </row>
    <row r="156" spans="1:24" ht="15" x14ac:dyDescent="0.25">
      <c r="A156" s="40"/>
      <c r="B156" s="35" t="s">
        <v>63</v>
      </c>
      <c r="C156" s="35" t="s">
        <v>62</v>
      </c>
      <c r="D156" s="35" t="s">
        <v>187</v>
      </c>
      <c r="E156" s="35">
        <v>5627</v>
      </c>
      <c r="F156" s="35" t="s">
        <v>61</v>
      </c>
      <c r="G156" s="43">
        <v>3108</v>
      </c>
      <c r="H156" s="44">
        <v>0</v>
      </c>
      <c r="I156" s="44">
        <v>0</v>
      </c>
      <c r="J156" s="44">
        <v>0</v>
      </c>
      <c r="K156" s="44">
        <v>0</v>
      </c>
      <c r="L156" s="44">
        <v>0</v>
      </c>
      <c r="M156" s="44">
        <v>0</v>
      </c>
      <c r="N156" s="44">
        <v>0</v>
      </c>
      <c r="O156" s="44">
        <v>0</v>
      </c>
      <c r="P156" s="44">
        <v>0</v>
      </c>
      <c r="Q156" s="44">
        <v>0</v>
      </c>
      <c r="R156" s="44">
        <v>0</v>
      </c>
      <c r="S156" s="44">
        <v>0</v>
      </c>
      <c r="T156" s="44">
        <v>0</v>
      </c>
      <c r="U156" s="44">
        <v>0</v>
      </c>
      <c r="V156" s="44">
        <v>0</v>
      </c>
      <c r="W156" s="39">
        <v>0</v>
      </c>
      <c r="X156"/>
    </row>
    <row r="157" spans="1:24" ht="15" x14ac:dyDescent="0.25">
      <c r="A157" s="40"/>
      <c r="B157" s="40"/>
      <c r="C157" s="40"/>
      <c r="D157" s="40"/>
      <c r="E157" s="40"/>
      <c r="F157" s="41" t="s">
        <v>64</v>
      </c>
      <c r="G157" s="45">
        <v>0</v>
      </c>
      <c r="H157" s="30">
        <v>0</v>
      </c>
      <c r="I157" s="30">
        <v>0</v>
      </c>
      <c r="J157" s="30">
        <v>386</v>
      </c>
      <c r="K157" s="30">
        <v>317</v>
      </c>
      <c r="L157" s="30">
        <v>246</v>
      </c>
      <c r="M157" s="30">
        <v>255</v>
      </c>
      <c r="N157" s="30">
        <v>193</v>
      </c>
      <c r="O157" s="30">
        <v>257</v>
      </c>
      <c r="P157" s="30">
        <v>117</v>
      </c>
      <c r="Q157" s="30">
        <v>133</v>
      </c>
      <c r="R157" s="30">
        <v>74</v>
      </c>
      <c r="S157" s="30">
        <v>26</v>
      </c>
      <c r="T157" s="30">
        <v>0</v>
      </c>
      <c r="U157" s="30">
        <v>0</v>
      </c>
      <c r="V157" s="30">
        <v>2004</v>
      </c>
      <c r="W157" s="42">
        <v>0</v>
      </c>
      <c r="X157"/>
    </row>
    <row r="158" spans="1:24" ht="15" x14ac:dyDescent="0.25">
      <c r="A158" s="40"/>
      <c r="B158" s="40"/>
      <c r="C158" s="40"/>
      <c r="D158" s="40"/>
      <c r="E158" s="40"/>
      <c r="F158" s="41" t="s">
        <v>133</v>
      </c>
      <c r="G158" s="45">
        <v>0</v>
      </c>
      <c r="H158" s="30">
        <v>0</v>
      </c>
      <c r="I158" s="30">
        <v>0</v>
      </c>
      <c r="J158" s="30">
        <v>0</v>
      </c>
      <c r="K158" s="30">
        <v>0</v>
      </c>
      <c r="L158" s="30">
        <v>0</v>
      </c>
      <c r="M158" s="30">
        <v>0</v>
      </c>
      <c r="N158" s="30">
        <v>0</v>
      </c>
      <c r="O158" s="30">
        <v>0</v>
      </c>
      <c r="P158" s="30">
        <v>0</v>
      </c>
      <c r="Q158" s="30">
        <v>0</v>
      </c>
      <c r="R158" s="30">
        <v>4</v>
      </c>
      <c r="S158" s="30">
        <v>0</v>
      </c>
      <c r="T158" s="30">
        <v>0</v>
      </c>
      <c r="U158" s="30">
        <v>0</v>
      </c>
      <c r="V158" s="30">
        <v>4</v>
      </c>
      <c r="W158" s="42">
        <v>0</v>
      </c>
      <c r="X158"/>
    </row>
    <row r="159" spans="1:24" ht="15" x14ac:dyDescent="0.25">
      <c r="A159" s="40"/>
      <c r="B159" s="40"/>
      <c r="C159" s="40"/>
      <c r="D159" s="40"/>
      <c r="E159" s="40"/>
      <c r="F159" s="41" t="s">
        <v>134</v>
      </c>
      <c r="G159" s="45">
        <v>0</v>
      </c>
      <c r="H159" s="30">
        <v>0</v>
      </c>
      <c r="I159" s="30">
        <v>0</v>
      </c>
      <c r="J159" s="30">
        <v>0</v>
      </c>
      <c r="K159" s="30">
        <v>0</v>
      </c>
      <c r="L159" s="30">
        <v>0</v>
      </c>
      <c r="M159" s="30">
        <v>0</v>
      </c>
      <c r="N159" s="30">
        <v>0</v>
      </c>
      <c r="O159" s="30">
        <v>0</v>
      </c>
      <c r="P159" s="30">
        <v>0</v>
      </c>
      <c r="Q159" s="30">
        <v>6</v>
      </c>
      <c r="R159" s="30">
        <v>1</v>
      </c>
      <c r="S159" s="30">
        <v>0</v>
      </c>
      <c r="T159" s="30">
        <v>0</v>
      </c>
      <c r="U159" s="30">
        <v>0</v>
      </c>
      <c r="V159" s="30">
        <v>7</v>
      </c>
      <c r="W159" s="42">
        <v>0</v>
      </c>
      <c r="X159"/>
    </row>
    <row r="160" spans="1:24" ht="15" x14ac:dyDescent="0.25">
      <c r="A160" s="40"/>
      <c r="B160" s="40"/>
      <c r="C160" s="40"/>
      <c r="D160" s="40"/>
      <c r="E160" s="40"/>
      <c r="F160" s="41" t="s">
        <v>103</v>
      </c>
      <c r="G160" s="45">
        <v>0</v>
      </c>
      <c r="H160" s="30">
        <v>0</v>
      </c>
      <c r="I160" s="30">
        <v>0</v>
      </c>
      <c r="J160" s="30">
        <v>0</v>
      </c>
      <c r="K160" s="30">
        <v>0</v>
      </c>
      <c r="L160" s="30">
        <v>0</v>
      </c>
      <c r="M160" s="30">
        <v>0</v>
      </c>
      <c r="N160" s="30">
        <v>0</v>
      </c>
      <c r="O160" s="30">
        <v>0</v>
      </c>
      <c r="P160" s="30">
        <v>0</v>
      </c>
      <c r="Q160" s="30">
        <v>0</v>
      </c>
      <c r="R160" s="30">
        <v>16</v>
      </c>
      <c r="S160" s="30">
        <v>0</v>
      </c>
      <c r="T160" s="30">
        <v>0</v>
      </c>
      <c r="U160" s="30">
        <v>0</v>
      </c>
      <c r="V160" s="30">
        <v>16</v>
      </c>
      <c r="W160" s="42">
        <v>0</v>
      </c>
      <c r="X160"/>
    </row>
    <row r="161" spans="1:24" ht="15" x14ac:dyDescent="0.25">
      <c r="A161" s="40"/>
      <c r="B161" s="40"/>
      <c r="C161" s="40"/>
      <c r="D161" s="40"/>
      <c r="E161" s="40"/>
      <c r="F161" s="41" t="s">
        <v>104</v>
      </c>
      <c r="G161" s="45">
        <v>0</v>
      </c>
      <c r="H161" s="30">
        <v>0</v>
      </c>
      <c r="I161" s="30">
        <v>0</v>
      </c>
      <c r="J161" s="30">
        <v>4</v>
      </c>
      <c r="K161" s="30">
        <v>3</v>
      </c>
      <c r="L161" s="30">
        <v>12</v>
      </c>
      <c r="M161" s="30">
        <v>4</v>
      </c>
      <c r="N161" s="30">
        <v>13</v>
      </c>
      <c r="O161" s="30">
        <v>15</v>
      </c>
      <c r="P161" s="30">
        <v>5</v>
      </c>
      <c r="Q161" s="30">
        <v>15</v>
      </c>
      <c r="R161" s="30">
        <v>9</v>
      </c>
      <c r="S161" s="30">
        <v>2</v>
      </c>
      <c r="T161" s="30">
        <v>0</v>
      </c>
      <c r="U161" s="30">
        <v>0</v>
      </c>
      <c r="V161" s="30">
        <v>82</v>
      </c>
      <c r="W161" s="42">
        <v>0</v>
      </c>
      <c r="X161"/>
    </row>
    <row r="162" spans="1:24" ht="15" x14ac:dyDescent="0.25">
      <c r="A162" s="40"/>
      <c r="B162" s="40"/>
      <c r="C162" s="40"/>
      <c r="D162" s="40"/>
      <c r="E162" s="40"/>
      <c r="F162" s="41" t="s">
        <v>105</v>
      </c>
      <c r="G162" s="45">
        <v>0</v>
      </c>
      <c r="H162" s="30">
        <v>0</v>
      </c>
      <c r="I162" s="30">
        <v>0</v>
      </c>
      <c r="J162" s="30">
        <v>0</v>
      </c>
      <c r="K162" s="30">
        <v>0</v>
      </c>
      <c r="L162" s="30">
        <v>0</v>
      </c>
      <c r="M162" s="30">
        <v>0</v>
      </c>
      <c r="N162" s="30">
        <v>2</v>
      </c>
      <c r="O162" s="30">
        <v>0</v>
      </c>
      <c r="P162" s="30">
        <v>3</v>
      </c>
      <c r="Q162" s="30">
        <v>2</v>
      </c>
      <c r="R162" s="30">
        <v>0</v>
      </c>
      <c r="S162" s="30">
        <v>0</v>
      </c>
      <c r="T162" s="30">
        <v>0</v>
      </c>
      <c r="U162" s="30">
        <v>0</v>
      </c>
      <c r="V162" s="30">
        <v>7</v>
      </c>
      <c r="W162" s="42">
        <v>0</v>
      </c>
      <c r="X162"/>
    </row>
    <row r="163" spans="1:24" ht="15" x14ac:dyDescent="0.25">
      <c r="A163" s="40"/>
      <c r="B163" s="40"/>
      <c r="C163" s="40"/>
      <c r="D163" s="40"/>
      <c r="E163" s="40"/>
      <c r="F163" s="41" t="s">
        <v>107</v>
      </c>
      <c r="G163" s="45">
        <v>0</v>
      </c>
      <c r="H163" s="30">
        <v>0</v>
      </c>
      <c r="I163" s="30">
        <v>0</v>
      </c>
      <c r="J163" s="30">
        <v>1</v>
      </c>
      <c r="K163" s="30">
        <v>3</v>
      </c>
      <c r="L163" s="30">
        <v>1</v>
      </c>
      <c r="M163" s="30">
        <v>2</v>
      </c>
      <c r="N163" s="30">
        <v>1</v>
      </c>
      <c r="O163" s="30">
        <v>5</v>
      </c>
      <c r="P163" s="30">
        <v>3</v>
      </c>
      <c r="Q163" s="30">
        <v>7</v>
      </c>
      <c r="R163" s="30">
        <v>4</v>
      </c>
      <c r="S163" s="30">
        <v>5</v>
      </c>
      <c r="T163" s="30">
        <v>0</v>
      </c>
      <c r="U163" s="30">
        <v>0</v>
      </c>
      <c r="V163" s="30">
        <v>32</v>
      </c>
      <c r="W163" s="42">
        <v>0</v>
      </c>
      <c r="X163"/>
    </row>
    <row r="164" spans="1:24" ht="15" x14ac:dyDescent="0.25">
      <c r="A164" s="40"/>
      <c r="B164" s="40"/>
      <c r="C164" s="40"/>
      <c r="D164" s="40"/>
      <c r="E164" s="40"/>
      <c r="F164" s="41" t="s">
        <v>108</v>
      </c>
      <c r="G164" s="45">
        <v>0</v>
      </c>
      <c r="H164" s="30">
        <v>0</v>
      </c>
      <c r="I164" s="30">
        <v>0</v>
      </c>
      <c r="J164" s="30">
        <v>0</v>
      </c>
      <c r="K164" s="30">
        <v>0</v>
      </c>
      <c r="L164" s="30">
        <v>0</v>
      </c>
      <c r="M164" s="30">
        <v>0</v>
      </c>
      <c r="N164" s="30">
        <v>0</v>
      </c>
      <c r="O164" s="30">
        <v>0</v>
      </c>
      <c r="P164" s="30">
        <v>0</v>
      </c>
      <c r="Q164" s="30">
        <v>0</v>
      </c>
      <c r="R164" s="30">
        <v>0</v>
      </c>
      <c r="S164" s="30">
        <v>1</v>
      </c>
      <c r="T164" s="30">
        <v>0</v>
      </c>
      <c r="U164" s="30">
        <v>0</v>
      </c>
      <c r="V164" s="30">
        <v>1</v>
      </c>
      <c r="W164" s="42">
        <v>0</v>
      </c>
      <c r="X164"/>
    </row>
    <row r="165" spans="1:24" ht="15" x14ac:dyDescent="0.25">
      <c r="A165" s="40"/>
      <c r="B165" s="40"/>
      <c r="C165" s="40"/>
      <c r="D165" s="40"/>
      <c r="E165" s="40"/>
      <c r="F165" s="41" t="s">
        <v>110</v>
      </c>
      <c r="G165" s="45">
        <v>0</v>
      </c>
      <c r="H165" s="30">
        <v>0</v>
      </c>
      <c r="I165" s="30">
        <v>0</v>
      </c>
      <c r="J165" s="30">
        <v>0</v>
      </c>
      <c r="K165" s="30">
        <v>0</v>
      </c>
      <c r="L165" s="30">
        <v>0</v>
      </c>
      <c r="M165" s="30">
        <v>1</v>
      </c>
      <c r="N165" s="30">
        <v>1</v>
      </c>
      <c r="O165" s="30">
        <v>0</v>
      </c>
      <c r="P165" s="30">
        <v>1</v>
      </c>
      <c r="Q165" s="30">
        <v>2</v>
      </c>
      <c r="R165" s="30">
        <v>5</v>
      </c>
      <c r="S165" s="30">
        <v>1</v>
      </c>
      <c r="T165" s="30">
        <v>0</v>
      </c>
      <c r="U165" s="30">
        <v>0</v>
      </c>
      <c r="V165" s="30">
        <v>11</v>
      </c>
      <c r="W165" s="42">
        <v>0</v>
      </c>
      <c r="X165"/>
    </row>
    <row r="166" spans="1:24" ht="15" x14ac:dyDescent="0.25">
      <c r="A166" s="40"/>
      <c r="B166" s="40"/>
      <c r="C166" s="40"/>
      <c r="D166" s="40"/>
      <c r="E166" s="40"/>
      <c r="F166" s="41" t="s">
        <v>111</v>
      </c>
      <c r="G166" s="45">
        <v>0</v>
      </c>
      <c r="H166" s="30">
        <v>0</v>
      </c>
      <c r="I166" s="30">
        <v>0</v>
      </c>
      <c r="J166" s="30">
        <v>0</v>
      </c>
      <c r="K166" s="30">
        <v>7</v>
      </c>
      <c r="L166" s="30">
        <v>8</v>
      </c>
      <c r="M166" s="30">
        <v>10</v>
      </c>
      <c r="N166" s="30">
        <v>11</v>
      </c>
      <c r="O166" s="30">
        <v>7</v>
      </c>
      <c r="P166" s="30">
        <v>7</v>
      </c>
      <c r="Q166" s="30">
        <v>5</v>
      </c>
      <c r="R166" s="30">
        <v>9</v>
      </c>
      <c r="S166" s="30">
        <v>4</v>
      </c>
      <c r="T166" s="30">
        <v>0</v>
      </c>
      <c r="U166" s="30">
        <v>0</v>
      </c>
      <c r="V166" s="30">
        <v>68</v>
      </c>
      <c r="W166" s="42">
        <v>0</v>
      </c>
      <c r="X166"/>
    </row>
    <row r="167" spans="1:24" ht="15" x14ac:dyDescent="0.25">
      <c r="A167" s="40"/>
      <c r="B167" s="40"/>
      <c r="C167" s="40"/>
      <c r="D167" s="40"/>
      <c r="E167" s="40"/>
      <c r="F167" s="41" t="s">
        <v>112</v>
      </c>
      <c r="G167" s="45">
        <v>0</v>
      </c>
      <c r="H167" s="30">
        <v>0</v>
      </c>
      <c r="I167" s="30">
        <v>0</v>
      </c>
      <c r="J167" s="30">
        <v>137</v>
      </c>
      <c r="K167" s="30">
        <v>147</v>
      </c>
      <c r="L167" s="30">
        <v>220</v>
      </c>
      <c r="M167" s="30">
        <v>133</v>
      </c>
      <c r="N167" s="30">
        <v>304</v>
      </c>
      <c r="O167" s="30">
        <v>166</v>
      </c>
      <c r="P167" s="30">
        <v>171</v>
      </c>
      <c r="Q167" s="30">
        <v>164</v>
      </c>
      <c r="R167" s="30">
        <v>137</v>
      </c>
      <c r="S167" s="30">
        <v>45</v>
      </c>
      <c r="T167" s="30">
        <v>0</v>
      </c>
      <c r="U167" s="30">
        <v>0</v>
      </c>
      <c r="V167" s="30">
        <v>1624</v>
      </c>
      <c r="W167" s="42">
        <v>0</v>
      </c>
      <c r="X167"/>
    </row>
    <row r="168" spans="1:24" ht="15" x14ac:dyDescent="0.25">
      <c r="A168" s="40"/>
      <c r="B168" s="40"/>
      <c r="C168" s="40"/>
      <c r="D168" s="40"/>
      <c r="E168" s="40"/>
      <c r="F168" s="41" t="s">
        <v>109</v>
      </c>
      <c r="G168" s="45">
        <v>0</v>
      </c>
      <c r="H168" s="30">
        <v>0</v>
      </c>
      <c r="I168" s="30">
        <v>0</v>
      </c>
      <c r="J168" s="30">
        <v>3</v>
      </c>
      <c r="K168" s="30">
        <v>3</v>
      </c>
      <c r="L168" s="30">
        <v>2</v>
      </c>
      <c r="M168" s="30">
        <v>5</v>
      </c>
      <c r="N168" s="30">
        <v>3</v>
      </c>
      <c r="O168" s="30">
        <v>11</v>
      </c>
      <c r="P168" s="30">
        <v>4</v>
      </c>
      <c r="Q168" s="30">
        <v>10</v>
      </c>
      <c r="R168" s="30">
        <v>0</v>
      </c>
      <c r="S168" s="30">
        <v>1</v>
      </c>
      <c r="T168" s="30">
        <v>0</v>
      </c>
      <c r="U168" s="30">
        <v>0</v>
      </c>
      <c r="V168" s="30">
        <v>42</v>
      </c>
      <c r="W168" s="42">
        <v>0</v>
      </c>
      <c r="X168"/>
    </row>
    <row r="169" spans="1:24" ht="15" x14ac:dyDescent="0.25">
      <c r="A169" s="40"/>
      <c r="B169" s="40"/>
      <c r="C169" s="40"/>
      <c r="D169" s="63" t="s">
        <v>293</v>
      </c>
      <c r="E169" s="64"/>
      <c r="F169" s="64"/>
      <c r="G169" s="65">
        <v>3108</v>
      </c>
      <c r="H169" s="66">
        <v>0</v>
      </c>
      <c r="I169" s="66">
        <v>0</v>
      </c>
      <c r="J169" s="66">
        <v>531</v>
      </c>
      <c r="K169" s="66">
        <v>480</v>
      </c>
      <c r="L169" s="66">
        <v>489</v>
      </c>
      <c r="M169" s="66">
        <v>410</v>
      </c>
      <c r="N169" s="66">
        <v>528</v>
      </c>
      <c r="O169" s="66">
        <v>461</v>
      </c>
      <c r="P169" s="66">
        <v>311</v>
      </c>
      <c r="Q169" s="66">
        <v>344</v>
      </c>
      <c r="R169" s="66">
        <v>259</v>
      </c>
      <c r="S169" s="66">
        <v>85</v>
      </c>
      <c r="T169" s="66">
        <v>0</v>
      </c>
      <c r="U169" s="66">
        <v>0</v>
      </c>
      <c r="V169" s="66">
        <v>3898</v>
      </c>
      <c r="W169" s="67">
        <v>1.2541827541827542</v>
      </c>
      <c r="X169"/>
    </row>
    <row r="170" spans="1:24" ht="15" x14ac:dyDescent="0.25">
      <c r="A170" s="40"/>
      <c r="B170" s="40"/>
      <c r="C170" s="40"/>
      <c r="D170" s="35" t="s">
        <v>189</v>
      </c>
      <c r="E170" s="35">
        <v>5835</v>
      </c>
      <c r="F170" s="35" t="s">
        <v>61</v>
      </c>
      <c r="G170" s="43">
        <v>1836</v>
      </c>
      <c r="H170" s="44">
        <v>0</v>
      </c>
      <c r="I170" s="44">
        <v>0</v>
      </c>
      <c r="J170" s="44">
        <v>0</v>
      </c>
      <c r="K170" s="44">
        <v>0</v>
      </c>
      <c r="L170" s="44">
        <v>0</v>
      </c>
      <c r="M170" s="44">
        <v>0</v>
      </c>
      <c r="N170" s="44">
        <v>0</v>
      </c>
      <c r="O170" s="44">
        <v>0</v>
      </c>
      <c r="P170" s="44">
        <v>0</v>
      </c>
      <c r="Q170" s="44">
        <v>0</v>
      </c>
      <c r="R170" s="44">
        <v>0</v>
      </c>
      <c r="S170" s="44">
        <v>0</v>
      </c>
      <c r="T170" s="44">
        <v>0</v>
      </c>
      <c r="U170" s="44">
        <v>0</v>
      </c>
      <c r="V170" s="44">
        <v>0</v>
      </c>
      <c r="W170" s="39">
        <v>0</v>
      </c>
      <c r="X170"/>
    </row>
    <row r="171" spans="1:24" ht="15" x14ac:dyDescent="0.25">
      <c r="A171" s="40"/>
      <c r="B171" s="40"/>
      <c r="C171" s="40"/>
      <c r="D171" s="40"/>
      <c r="E171" s="40"/>
      <c r="F171" s="41" t="s">
        <v>64</v>
      </c>
      <c r="G171" s="45">
        <v>0</v>
      </c>
      <c r="H171" s="30">
        <v>0</v>
      </c>
      <c r="I171" s="30">
        <v>0</v>
      </c>
      <c r="J171" s="30">
        <v>170</v>
      </c>
      <c r="K171" s="30">
        <v>134</v>
      </c>
      <c r="L171" s="30">
        <v>113</v>
      </c>
      <c r="M171" s="30">
        <v>128</v>
      </c>
      <c r="N171" s="30">
        <v>102</v>
      </c>
      <c r="O171" s="30">
        <v>136</v>
      </c>
      <c r="P171" s="30">
        <v>75</v>
      </c>
      <c r="Q171" s="30">
        <v>78</v>
      </c>
      <c r="R171" s="30">
        <v>15</v>
      </c>
      <c r="S171" s="30">
        <v>0</v>
      </c>
      <c r="T171" s="30">
        <v>0</v>
      </c>
      <c r="U171" s="30">
        <v>0</v>
      </c>
      <c r="V171" s="30">
        <v>951</v>
      </c>
      <c r="W171" s="42">
        <v>0</v>
      </c>
      <c r="X171"/>
    </row>
    <row r="172" spans="1:24" ht="15" x14ac:dyDescent="0.25">
      <c r="A172" s="40"/>
      <c r="B172" s="40"/>
      <c r="C172" s="40"/>
      <c r="D172" s="40"/>
      <c r="E172" s="40"/>
      <c r="F172" s="41" t="s">
        <v>112</v>
      </c>
      <c r="G172" s="45">
        <v>0</v>
      </c>
      <c r="H172" s="30">
        <v>0</v>
      </c>
      <c r="I172" s="30">
        <v>0</v>
      </c>
      <c r="J172" s="30">
        <v>11</v>
      </c>
      <c r="K172" s="30">
        <v>17</v>
      </c>
      <c r="L172" s="30">
        <v>20</v>
      </c>
      <c r="M172" s="30">
        <v>19</v>
      </c>
      <c r="N172" s="30">
        <v>29</v>
      </c>
      <c r="O172" s="30">
        <v>11</v>
      </c>
      <c r="P172" s="30">
        <v>18</v>
      </c>
      <c r="Q172" s="30">
        <v>33</v>
      </c>
      <c r="R172" s="30">
        <v>24</v>
      </c>
      <c r="S172" s="30">
        <v>8</v>
      </c>
      <c r="T172" s="30">
        <v>0</v>
      </c>
      <c r="U172" s="30">
        <v>0</v>
      </c>
      <c r="V172" s="30">
        <v>190</v>
      </c>
      <c r="W172" s="42">
        <v>0</v>
      </c>
      <c r="X172"/>
    </row>
    <row r="173" spans="1:24" ht="15" x14ac:dyDescent="0.25">
      <c r="A173" s="40"/>
      <c r="B173" s="40"/>
      <c r="C173" s="40"/>
      <c r="D173" s="63" t="s">
        <v>299</v>
      </c>
      <c r="E173" s="64"/>
      <c r="F173" s="64"/>
      <c r="G173" s="65">
        <v>1836</v>
      </c>
      <c r="H173" s="66">
        <v>0</v>
      </c>
      <c r="I173" s="66">
        <v>0</v>
      </c>
      <c r="J173" s="66">
        <v>181</v>
      </c>
      <c r="K173" s="66">
        <v>151</v>
      </c>
      <c r="L173" s="66">
        <v>133</v>
      </c>
      <c r="M173" s="66">
        <v>147</v>
      </c>
      <c r="N173" s="66">
        <v>131</v>
      </c>
      <c r="O173" s="66">
        <v>147</v>
      </c>
      <c r="P173" s="66">
        <v>93</v>
      </c>
      <c r="Q173" s="66">
        <v>111</v>
      </c>
      <c r="R173" s="66">
        <v>39</v>
      </c>
      <c r="S173" s="66">
        <v>8</v>
      </c>
      <c r="T173" s="66">
        <v>0</v>
      </c>
      <c r="U173" s="66">
        <v>0</v>
      </c>
      <c r="V173" s="66">
        <v>1141</v>
      </c>
      <c r="W173" s="67">
        <v>0.6214596949891068</v>
      </c>
      <c r="X173"/>
    </row>
    <row r="174" spans="1:24" ht="15" x14ac:dyDescent="0.25">
      <c r="A174" s="47" t="s">
        <v>53</v>
      </c>
      <c r="B174" s="57"/>
      <c r="C174" s="57"/>
      <c r="D174" s="57"/>
      <c r="E174" s="57"/>
      <c r="F174" s="57"/>
      <c r="G174" s="58">
        <v>6254</v>
      </c>
      <c r="H174" s="59">
        <v>0</v>
      </c>
      <c r="I174" s="59">
        <v>0</v>
      </c>
      <c r="J174" s="59">
        <v>712</v>
      </c>
      <c r="K174" s="59">
        <v>631</v>
      </c>
      <c r="L174" s="59">
        <v>622</v>
      </c>
      <c r="M174" s="59">
        <v>557</v>
      </c>
      <c r="N174" s="59">
        <v>659</v>
      </c>
      <c r="O174" s="59">
        <v>608</v>
      </c>
      <c r="P174" s="59">
        <v>404</v>
      </c>
      <c r="Q174" s="59">
        <v>455</v>
      </c>
      <c r="R174" s="59">
        <v>298</v>
      </c>
      <c r="S174" s="59">
        <v>608</v>
      </c>
      <c r="T174" s="59">
        <v>791</v>
      </c>
      <c r="U174" s="59">
        <v>901</v>
      </c>
      <c r="V174" s="59">
        <v>7246</v>
      </c>
      <c r="W174" s="60">
        <v>1.158618484170131</v>
      </c>
      <c r="X174"/>
    </row>
    <row r="175" spans="1:24" ht="15" x14ac:dyDescent="0.25">
      <c r="A175" s="35" t="s">
        <v>159</v>
      </c>
      <c r="B175" s="35" t="s">
        <v>213</v>
      </c>
      <c r="C175" s="35" t="s">
        <v>211</v>
      </c>
      <c r="D175" s="35" t="s">
        <v>189</v>
      </c>
      <c r="E175" s="35">
        <v>5835</v>
      </c>
      <c r="F175" s="35" t="s">
        <v>159</v>
      </c>
      <c r="G175" s="43">
        <v>665</v>
      </c>
      <c r="H175" s="44">
        <v>0</v>
      </c>
      <c r="I175" s="44">
        <v>0</v>
      </c>
      <c r="J175" s="44">
        <v>65</v>
      </c>
      <c r="K175" s="44">
        <v>65</v>
      </c>
      <c r="L175" s="44">
        <v>65</v>
      </c>
      <c r="M175" s="44">
        <v>71</v>
      </c>
      <c r="N175" s="44">
        <v>0</v>
      </c>
      <c r="O175" s="44">
        <v>0</v>
      </c>
      <c r="P175" s="44">
        <v>0</v>
      </c>
      <c r="Q175" s="44">
        <v>0</v>
      </c>
      <c r="R175" s="44">
        <v>0</v>
      </c>
      <c r="S175" s="44">
        <v>0</v>
      </c>
      <c r="T175" s="44">
        <v>0</v>
      </c>
      <c r="U175" s="44">
        <v>0</v>
      </c>
      <c r="V175" s="44">
        <v>266</v>
      </c>
      <c r="W175" s="39">
        <v>0.4</v>
      </c>
      <c r="X175"/>
    </row>
    <row r="176" spans="1:24" ht="15" x14ac:dyDescent="0.25">
      <c r="A176" s="40"/>
      <c r="B176" s="40"/>
      <c r="C176" s="40"/>
      <c r="D176" s="63" t="s">
        <v>299</v>
      </c>
      <c r="E176" s="64"/>
      <c r="F176" s="64"/>
      <c r="G176" s="65">
        <v>665</v>
      </c>
      <c r="H176" s="66">
        <v>0</v>
      </c>
      <c r="I176" s="66">
        <v>0</v>
      </c>
      <c r="J176" s="66">
        <v>65</v>
      </c>
      <c r="K176" s="66">
        <v>65</v>
      </c>
      <c r="L176" s="66">
        <v>65</v>
      </c>
      <c r="M176" s="66">
        <v>71</v>
      </c>
      <c r="N176" s="66">
        <v>0</v>
      </c>
      <c r="O176" s="66">
        <v>0</v>
      </c>
      <c r="P176" s="66">
        <v>0</v>
      </c>
      <c r="Q176" s="66">
        <v>0</v>
      </c>
      <c r="R176" s="66">
        <v>0</v>
      </c>
      <c r="S176" s="66">
        <v>0</v>
      </c>
      <c r="T176" s="66">
        <v>0</v>
      </c>
      <c r="U176" s="66">
        <v>0</v>
      </c>
      <c r="V176" s="66">
        <v>266</v>
      </c>
      <c r="W176" s="67">
        <v>0.4</v>
      </c>
      <c r="X176"/>
    </row>
    <row r="177" spans="1:24" ht="15" x14ac:dyDescent="0.25">
      <c r="A177" s="40"/>
      <c r="B177" s="40"/>
      <c r="C177" s="40"/>
      <c r="D177" s="35" t="s">
        <v>212</v>
      </c>
      <c r="E177" s="35">
        <v>5632</v>
      </c>
      <c r="F177" s="35" t="s">
        <v>159</v>
      </c>
      <c r="G177" s="43">
        <v>385</v>
      </c>
      <c r="H177" s="44">
        <v>0</v>
      </c>
      <c r="I177" s="44">
        <v>0</v>
      </c>
      <c r="J177" s="44">
        <v>35</v>
      </c>
      <c r="K177" s="44">
        <v>35</v>
      </c>
      <c r="L177" s="44">
        <v>35</v>
      </c>
      <c r="M177" s="44">
        <v>49</v>
      </c>
      <c r="N177" s="44">
        <v>0</v>
      </c>
      <c r="O177" s="44">
        <v>32</v>
      </c>
      <c r="P177" s="44">
        <v>32</v>
      </c>
      <c r="Q177" s="44">
        <v>32</v>
      </c>
      <c r="R177" s="44">
        <v>32</v>
      </c>
      <c r="S177" s="44">
        <v>32</v>
      </c>
      <c r="T177" s="44">
        <v>32</v>
      </c>
      <c r="U177" s="44">
        <v>39</v>
      </c>
      <c r="V177" s="44">
        <v>385</v>
      </c>
      <c r="W177" s="39">
        <v>1</v>
      </c>
      <c r="X177"/>
    </row>
    <row r="178" spans="1:24" ht="15" x14ac:dyDescent="0.25">
      <c r="A178" s="40"/>
      <c r="B178" s="40"/>
      <c r="C178" s="40"/>
      <c r="D178" s="63" t="s">
        <v>307</v>
      </c>
      <c r="E178" s="64"/>
      <c r="F178" s="64"/>
      <c r="G178" s="65">
        <v>385</v>
      </c>
      <c r="H178" s="66">
        <v>0</v>
      </c>
      <c r="I178" s="66">
        <v>0</v>
      </c>
      <c r="J178" s="66">
        <v>35</v>
      </c>
      <c r="K178" s="66">
        <v>35</v>
      </c>
      <c r="L178" s="66">
        <v>35</v>
      </c>
      <c r="M178" s="66">
        <v>49</v>
      </c>
      <c r="N178" s="66">
        <v>0</v>
      </c>
      <c r="O178" s="66">
        <v>32</v>
      </c>
      <c r="P178" s="66">
        <v>32</v>
      </c>
      <c r="Q178" s="66">
        <v>32</v>
      </c>
      <c r="R178" s="66">
        <v>32</v>
      </c>
      <c r="S178" s="66">
        <v>32</v>
      </c>
      <c r="T178" s="66">
        <v>32</v>
      </c>
      <c r="U178" s="66">
        <v>39</v>
      </c>
      <c r="V178" s="66">
        <v>385</v>
      </c>
      <c r="W178" s="67">
        <v>1</v>
      </c>
      <c r="X178"/>
    </row>
    <row r="179" spans="1:24" ht="15" x14ac:dyDescent="0.25">
      <c r="A179" s="40"/>
      <c r="B179" s="40"/>
      <c r="C179" s="40"/>
      <c r="D179" s="35" t="s">
        <v>214</v>
      </c>
      <c r="E179" s="35">
        <v>6086</v>
      </c>
      <c r="F179" s="35" t="s">
        <v>159</v>
      </c>
      <c r="G179" s="43">
        <v>346</v>
      </c>
      <c r="H179" s="44">
        <v>0</v>
      </c>
      <c r="I179" s="44">
        <v>0</v>
      </c>
      <c r="J179" s="44">
        <v>32</v>
      </c>
      <c r="K179" s="44">
        <v>32</v>
      </c>
      <c r="L179" s="44">
        <v>32</v>
      </c>
      <c r="M179" s="44">
        <v>32</v>
      </c>
      <c r="N179" s="44">
        <v>26</v>
      </c>
      <c r="O179" s="44">
        <v>32</v>
      </c>
      <c r="P179" s="44">
        <v>32</v>
      </c>
      <c r="Q179" s="44">
        <v>32</v>
      </c>
      <c r="R179" s="44">
        <v>32</v>
      </c>
      <c r="S179" s="44">
        <v>32</v>
      </c>
      <c r="T179" s="44">
        <v>32</v>
      </c>
      <c r="U179" s="44">
        <v>39</v>
      </c>
      <c r="V179" s="44">
        <v>385</v>
      </c>
      <c r="W179" s="39">
        <v>1.1127167630057804</v>
      </c>
      <c r="X179"/>
    </row>
    <row r="180" spans="1:24" ht="15" x14ac:dyDescent="0.25">
      <c r="A180" s="40"/>
      <c r="B180" s="40"/>
      <c r="C180" s="40"/>
      <c r="D180" s="63" t="s">
        <v>301</v>
      </c>
      <c r="E180" s="64"/>
      <c r="F180" s="64"/>
      <c r="G180" s="65">
        <v>346</v>
      </c>
      <c r="H180" s="66">
        <v>0</v>
      </c>
      <c r="I180" s="66">
        <v>0</v>
      </c>
      <c r="J180" s="66">
        <v>32</v>
      </c>
      <c r="K180" s="66">
        <v>32</v>
      </c>
      <c r="L180" s="66">
        <v>32</v>
      </c>
      <c r="M180" s="66">
        <v>32</v>
      </c>
      <c r="N180" s="66">
        <v>26</v>
      </c>
      <c r="O180" s="66">
        <v>32</v>
      </c>
      <c r="P180" s="66">
        <v>32</v>
      </c>
      <c r="Q180" s="66">
        <v>32</v>
      </c>
      <c r="R180" s="66">
        <v>32</v>
      </c>
      <c r="S180" s="66">
        <v>32</v>
      </c>
      <c r="T180" s="66">
        <v>32</v>
      </c>
      <c r="U180" s="66">
        <v>39</v>
      </c>
      <c r="V180" s="66">
        <v>385</v>
      </c>
      <c r="W180" s="67">
        <v>1.1127167630057804</v>
      </c>
      <c r="X180"/>
    </row>
    <row r="181" spans="1:24" ht="15" x14ac:dyDescent="0.25">
      <c r="A181" s="47" t="s">
        <v>181</v>
      </c>
      <c r="B181" s="57"/>
      <c r="C181" s="57"/>
      <c r="D181" s="57"/>
      <c r="E181" s="57"/>
      <c r="F181" s="57"/>
      <c r="G181" s="58">
        <v>1396</v>
      </c>
      <c r="H181" s="59">
        <v>0</v>
      </c>
      <c r="I181" s="59">
        <v>0</v>
      </c>
      <c r="J181" s="59">
        <v>132</v>
      </c>
      <c r="K181" s="59">
        <v>132</v>
      </c>
      <c r="L181" s="59">
        <v>132</v>
      </c>
      <c r="M181" s="59">
        <v>152</v>
      </c>
      <c r="N181" s="59">
        <v>26</v>
      </c>
      <c r="O181" s="59">
        <v>64</v>
      </c>
      <c r="P181" s="59">
        <v>64</v>
      </c>
      <c r="Q181" s="59">
        <v>64</v>
      </c>
      <c r="R181" s="59">
        <v>64</v>
      </c>
      <c r="S181" s="59">
        <v>64</v>
      </c>
      <c r="T181" s="59">
        <v>64</v>
      </c>
      <c r="U181" s="59">
        <v>78</v>
      </c>
      <c r="V181" s="59">
        <v>1036</v>
      </c>
      <c r="W181" s="60">
        <v>0.74212034383954151</v>
      </c>
      <c r="X181"/>
    </row>
    <row r="182" spans="1:24" ht="15" x14ac:dyDescent="0.25">
      <c r="A182" s="35" t="s">
        <v>87</v>
      </c>
      <c r="B182" s="35" t="s">
        <v>166</v>
      </c>
      <c r="C182" s="35" t="s">
        <v>165</v>
      </c>
      <c r="D182" s="35" t="s">
        <v>191</v>
      </c>
      <c r="E182" s="35">
        <v>5624</v>
      </c>
      <c r="F182" s="35" t="s">
        <v>87</v>
      </c>
      <c r="G182" s="43">
        <v>166</v>
      </c>
      <c r="H182" s="44">
        <v>0</v>
      </c>
      <c r="I182" s="44">
        <v>43</v>
      </c>
      <c r="J182" s="44">
        <v>0</v>
      </c>
      <c r="K182" s="44">
        <v>3</v>
      </c>
      <c r="L182" s="44">
        <v>0</v>
      </c>
      <c r="M182" s="44">
        <v>0</v>
      </c>
      <c r="N182" s="44">
        <v>0</v>
      </c>
      <c r="O182" s="44">
        <v>0</v>
      </c>
      <c r="P182" s="44">
        <v>0</v>
      </c>
      <c r="Q182" s="44">
        <v>0</v>
      </c>
      <c r="R182" s="44">
        <v>0</v>
      </c>
      <c r="S182" s="44">
        <v>0</v>
      </c>
      <c r="T182" s="44">
        <v>0</v>
      </c>
      <c r="U182" s="44">
        <v>0</v>
      </c>
      <c r="V182" s="44">
        <v>46</v>
      </c>
      <c r="W182" s="39">
        <v>0.27710843373493976</v>
      </c>
      <c r="X182"/>
    </row>
    <row r="183" spans="1:24" ht="15" x14ac:dyDescent="0.25">
      <c r="A183" s="40"/>
      <c r="B183" s="40"/>
      <c r="C183" s="40"/>
      <c r="D183" s="63" t="s">
        <v>298</v>
      </c>
      <c r="E183" s="64"/>
      <c r="F183" s="64"/>
      <c r="G183" s="65">
        <v>166</v>
      </c>
      <c r="H183" s="66">
        <v>0</v>
      </c>
      <c r="I183" s="66">
        <v>43</v>
      </c>
      <c r="J183" s="66">
        <v>0</v>
      </c>
      <c r="K183" s="66">
        <v>3</v>
      </c>
      <c r="L183" s="66">
        <v>0</v>
      </c>
      <c r="M183" s="66">
        <v>0</v>
      </c>
      <c r="N183" s="66">
        <v>0</v>
      </c>
      <c r="O183" s="66">
        <v>0</v>
      </c>
      <c r="P183" s="66">
        <v>0</v>
      </c>
      <c r="Q183" s="66">
        <v>0</v>
      </c>
      <c r="R183" s="66">
        <v>0</v>
      </c>
      <c r="S183" s="66">
        <v>0</v>
      </c>
      <c r="T183" s="66">
        <v>0</v>
      </c>
      <c r="U183" s="66">
        <v>0</v>
      </c>
      <c r="V183" s="66">
        <v>46</v>
      </c>
      <c r="W183" s="67">
        <v>0.27710843373493976</v>
      </c>
      <c r="X183"/>
    </row>
    <row r="184" spans="1:24" ht="15" x14ac:dyDescent="0.25">
      <c r="A184" s="40"/>
      <c r="B184" s="35" t="s">
        <v>93</v>
      </c>
      <c r="C184" s="35" t="s">
        <v>92</v>
      </c>
      <c r="D184" s="35" t="s">
        <v>259</v>
      </c>
      <c r="E184" s="35">
        <v>5633</v>
      </c>
      <c r="F184" s="35" t="s">
        <v>87</v>
      </c>
      <c r="G184" s="43">
        <v>38</v>
      </c>
      <c r="H184" s="44">
        <v>0</v>
      </c>
      <c r="I184" s="44">
        <v>0</v>
      </c>
      <c r="J184" s="44">
        <v>0</v>
      </c>
      <c r="K184" s="44">
        <v>0</v>
      </c>
      <c r="L184" s="44">
        <v>0</v>
      </c>
      <c r="M184" s="44">
        <v>0</v>
      </c>
      <c r="N184" s="44">
        <v>0</v>
      </c>
      <c r="O184" s="44">
        <v>0</v>
      </c>
      <c r="P184" s="44">
        <v>4</v>
      </c>
      <c r="Q184" s="44">
        <v>0</v>
      </c>
      <c r="R184" s="44">
        <v>0</v>
      </c>
      <c r="S184" s="44">
        <v>3</v>
      </c>
      <c r="T184" s="44">
        <v>7</v>
      </c>
      <c r="U184" s="44">
        <v>0</v>
      </c>
      <c r="V184" s="44">
        <v>14</v>
      </c>
      <c r="W184" s="39">
        <v>0.36842105263157893</v>
      </c>
      <c r="X184"/>
    </row>
    <row r="185" spans="1:24" ht="15" x14ac:dyDescent="0.25">
      <c r="A185" s="40"/>
      <c r="B185" s="40"/>
      <c r="C185" s="40"/>
      <c r="D185" s="63" t="s">
        <v>309</v>
      </c>
      <c r="E185" s="64"/>
      <c r="F185" s="64"/>
      <c r="G185" s="65">
        <v>38</v>
      </c>
      <c r="H185" s="66">
        <v>0</v>
      </c>
      <c r="I185" s="66">
        <v>0</v>
      </c>
      <c r="J185" s="66">
        <v>0</v>
      </c>
      <c r="K185" s="66">
        <v>0</v>
      </c>
      <c r="L185" s="66">
        <v>0</v>
      </c>
      <c r="M185" s="66">
        <v>0</v>
      </c>
      <c r="N185" s="66">
        <v>0</v>
      </c>
      <c r="O185" s="66">
        <v>0</v>
      </c>
      <c r="P185" s="66">
        <v>4</v>
      </c>
      <c r="Q185" s="66">
        <v>0</v>
      </c>
      <c r="R185" s="66">
        <v>0</v>
      </c>
      <c r="S185" s="66">
        <v>3</v>
      </c>
      <c r="T185" s="66">
        <v>7</v>
      </c>
      <c r="U185" s="66">
        <v>0</v>
      </c>
      <c r="V185" s="66">
        <v>14</v>
      </c>
      <c r="W185" s="67">
        <v>0.36842105263157893</v>
      </c>
      <c r="X185"/>
    </row>
    <row r="186" spans="1:24" ht="15" x14ac:dyDescent="0.25">
      <c r="A186" s="47" t="s">
        <v>89</v>
      </c>
      <c r="B186" s="57"/>
      <c r="C186" s="57"/>
      <c r="D186" s="57"/>
      <c r="E186" s="57"/>
      <c r="F186" s="57"/>
      <c r="G186" s="58">
        <v>204</v>
      </c>
      <c r="H186" s="59">
        <v>0</v>
      </c>
      <c r="I186" s="59">
        <v>43</v>
      </c>
      <c r="J186" s="59">
        <v>0</v>
      </c>
      <c r="K186" s="59">
        <v>3</v>
      </c>
      <c r="L186" s="59">
        <v>0</v>
      </c>
      <c r="M186" s="59">
        <v>0</v>
      </c>
      <c r="N186" s="59">
        <v>0</v>
      </c>
      <c r="O186" s="59">
        <v>0</v>
      </c>
      <c r="P186" s="59">
        <v>4</v>
      </c>
      <c r="Q186" s="59">
        <v>0</v>
      </c>
      <c r="R186" s="59">
        <v>0</v>
      </c>
      <c r="S186" s="59">
        <v>3</v>
      </c>
      <c r="T186" s="59">
        <v>7</v>
      </c>
      <c r="U186" s="59">
        <v>0</v>
      </c>
      <c r="V186" s="59">
        <v>60</v>
      </c>
      <c r="W186" s="60">
        <v>0.29411764705882354</v>
      </c>
      <c r="X186"/>
    </row>
    <row r="187" spans="1:24" ht="15" x14ac:dyDescent="0.25">
      <c r="A187" s="35" t="s">
        <v>122</v>
      </c>
      <c r="B187" s="35" t="s">
        <v>260</v>
      </c>
      <c r="C187" s="35">
        <v>52568</v>
      </c>
      <c r="D187" s="35" t="s">
        <v>194</v>
      </c>
      <c r="E187" s="35">
        <v>5613</v>
      </c>
      <c r="F187" s="35" t="s">
        <v>122</v>
      </c>
      <c r="G187" s="43">
        <v>1</v>
      </c>
      <c r="H187" s="44">
        <v>0</v>
      </c>
      <c r="I187" s="44">
        <v>0</v>
      </c>
      <c r="J187" s="44">
        <v>0</v>
      </c>
      <c r="K187" s="44">
        <v>0</v>
      </c>
      <c r="L187" s="44">
        <v>0</v>
      </c>
      <c r="M187" s="44">
        <v>1</v>
      </c>
      <c r="N187" s="44">
        <v>0</v>
      </c>
      <c r="O187" s="44">
        <v>0</v>
      </c>
      <c r="P187" s="44">
        <v>0</v>
      </c>
      <c r="Q187" s="44">
        <v>0</v>
      </c>
      <c r="R187" s="44">
        <v>0</v>
      </c>
      <c r="S187" s="44">
        <v>0</v>
      </c>
      <c r="T187" s="44">
        <v>0</v>
      </c>
      <c r="U187" s="44">
        <v>0</v>
      </c>
      <c r="V187" s="44">
        <v>1</v>
      </c>
      <c r="W187" s="39">
        <v>1</v>
      </c>
      <c r="X187"/>
    </row>
    <row r="188" spans="1:24" ht="15" x14ac:dyDescent="0.25">
      <c r="A188" s="40"/>
      <c r="B188" s="40"/>
      <c r="C188" s="40"/>
      <c r="D188" s="63" t="s">
        <v>291</v>
      </c>
      <c r="E188" s="64"/>
      <c r="F188" s="64"/>
      <c r="G188" s="65">
        <v>1</v>
      </c>
      <c r="H188" s="66">
        <v>0</v>
      </c>
      <c r="I188" s="66">
        <v>0</v>
      </c>
      <c r="J188" s="66">
        <v>0</v>
      </c>
      <c r="K188" s="66">
        <v>0</v>
      </c>
      <c r="L188" s="66">
        <v>0</v>
      </c>
      <c r="M188" s="66">
        <v>1</v>
      </c>
      <c r="N188" s="66">
        <v>0</v>
      </c>
      <c r="O188" s="66">
        <v>0</v>
      </c>
      <c r="P188" s="66">
        <v>0</v>
      </c>
      <c r="Q188" s="66">
        <v>0</v>
      </c>
      <c r="R188" s="66">
        <v>0</v>
      </c>
      <c r="S188" s="66">
        <v>0</v>
      </c>
      <c r="T188" s="66">
        <v>0</v>
      </c>
      <c r="U188" s="66">
        <v>0</v>
      </c>
      <c r="V188" s="66">
        <v>1</v>
      </c>
      <c r="W188" s="67">
        <v>1</v>
      </c>
      <c r="X188"/>
    </row>
    <row r="189" spans="1:24" ht="15" x14ac:dyDescent="0.25">
      <c r="A189" s="47" t="s">
        <v>131</v>
      </c>
      <c r="B189" s="57"/>
      <c r="C189" s="57"/>
      <c r="D189" s="57"/>
      <c r="E189" s="57"/>
      <c r="F189" s="57"/>
      <c r="G189" s="58">
        <v>1</v>
      </c>
      <c r="H189" s="59">
        <v>0</v>
      </c>
      <c r="I189" s="59">
        <v>0</v>
      </c>
      <c r="J189" s="59">
        <v>0</v>
      </c>
      <c r="K189" s="59">
        <v>0</v>
      </c>
      <c r="L189" s="59">
        <v>0</v>
      </c>
      <c r="M189" s="59">
        <v>1</v>
      </c>
      <c r="N189" s="59">
        <v>0</v>
      </c>
      <c r="O189" s="59">
        <v>0</v>
      </c>
      <c r="P189" s="59">
        <v>0</v>
      </c>
      <c r="Q189" s="59">
        <v>0</v>
      </c>
      <c r="R189" s="59">
        <v>0</v>
      </c>
      <c r="S189" s="59">
        <v>0</v>
      </c>
      <c r="T189" s="59">
        <v>0</v>
      </c>
      <c r="U189" s="59">
        <v>0</v>
      </c>
      <c r="V189" s="59">
        <v>1</v>
      </c>
      <c r="W189" s="60">
        <v>1</v>
      </c>
      <c r="X189"/>
    </row>
    <row r="190" spans="1:24" ht="15" x14ac:dyDescent="0.25">
      <c r="A190" s="35" t="s">
        <v>137</v>
      </c>
      <c r="B190" s="35" t="s">
        <v>138</v>
      </c>
      <c r="C190" s="35" t="s">
        <v>136</v>
      </c>
      <c r="D190" s="35" t="s">
        <v>187</v>
      </c>
      <c r="E190" s="35">
        <v>5627</v>
      </c>
      <c r="F190" s="35" t="s">
        <v>137</v>
      </c>
      <c r="G190" s="43">
        <v>612.5</v>
      </c>
      <c r="H190" s="44">
        <v>0</v>
      </c>
      <c r="I190" s="44">
        <v>0</v>
      </c>
      <c r="J190" s="44">
        <v>0</v>
      </c>
      <c r="K190" s="44">
        <v>0</v>
      </c>
      <c r="L190" s="44">
        <v>0</v>
      </c>
      <c r="M190" s="44">
        <v>0</v>
      </c>
      <c r="N190" s="44">
        <v>0</v>
      </c>
      <c r="O190" s="44">
        <v>0</v>
      </c>
      <c r="P190" s="44">
        <v>0</v>
      </c>
      <c r="Q190" s="44">
        <v>0</v>
      </c>
      <c r="R190" s="44">
        <v>0</v>
      </c>
      <c r="S190" s="44">
        <v>0</v>
      </c>
      <c r="T190" s="44">
        <v>0</v>
      </c>
      <c r="U190" s="44">
        <v>0</v>
      </c>
      <c r="V190" s="44">
        <v>0</v>
      </c>
      <c r="W190" s="39">
        <v>0</v>
      </c>
      <c r="X190"/>
    </row>
    <row r="191" spans="1:24" ht="15" x14ac:dyDescent="0.25">
      <c r="A191" s="40"/>
      <c r="B191" s="40"/>
      <c r="C191" s="40"/>
      <c r="D191" s="40"/>
      <c r="E191" s="40"/>
      <c r="F191" s="41" t="s">
        <v>141</v>
      </c>
      <c r="G191" s="45">
        <v>0</v>
      </c>
      <c r="H191" s="30">
        <v>0</v>
      </c>
      <c r="I191" s="30">
        <v>0</v>
      </c>
      <c r="J191" s="30">
        <v>51</v>
      </c>
      <c r="K191" s="30">
        <v>51</v>
      </c>
      <c r="L191" s="30">
        <v>55</v>
      </c>
      <c r="M191" s="30">
        <v>0</v>
      </c>
      <c r="N191" s="30">
        <v>102</v>
      </c>
      <c r="O191" s="30">
        <v>51</v>
      </c>
      <c r="P191" s="30">
        <v>63</v>
      </c>
      <c r="Q191" s="30">
        <v>51</v>
      </c>
      <c r="R191" s="30">
        <v>55</v>
      </c>
      <c r="S191" s="30">
        <v>53</v>
      </c>
      <c r="T191" s="30">
        <v>2</v>
      </c>
      <c r="U191" s="30">
        <v>0</v>
      </c>
      <c r="V191" s="30">
        <v>534</v>
      </c>
      <c r="W191" s="42">
        <v>0</v>
      </c>
      <c r="X191"/>
    </row>
    <row r="192" spans="1:24" ht="15" x14ac:dyDescent="0.25">
      <c r="A192" s="40"/>
      <c r="B192" s="40"/>
      <c r="C192" s="40"/>
      <c r="D192" s="63" t="s">
        <v>293</v>
      </c>
      <c r="E192" s="64"/>
      <c r="F192" s="64"/>
      <c r="G192" s="65">
        <v>612.5</v>
      </c>
      <c r="H192" s="66">
        <v>0</v>
      </c>
      <c r="I192" s="66">
        <v>0</v>
      </c>
      <c r="J192" s="66">
        <v>51</v>
      </c>
      <c r="K192" s="66">
        <v>51</v>
      </c>
      <c r="L192" s="66">
        <v>55</v>
      </c>
      <c r="M192" s="66">
        <v>0</v>
      </c>
      <c r="N192" s="66">
        <v>102</v>
      </c>
      <c r="O192" s="66">
        <v>51</v>
      </c>
      <c r="P192" s="66">
        <v>63</v>
      </c>
      <c r="Q192" s="66">
        <v>51</v>
      </c>
      <c r="R192" s="66">
        <v>55</v>
      </c>
      <c r="S192" s="66">
        <v>53</v>
      </c>
      <c r="T192" s="66">
        <v>2</v>
      </c>
      <c r="U192" s="66">
        <v>0</v>
      </c>
      <c r="V192" s="66">
        <v>534</v>
      </c>
      <c r="W192" s="67">
        <v>0.87183673469387757</v>
      </c>
      <c r="X192"/>
    </row>
    <row r="193" spans="1:24" ht="15" x14ac:dyDescent="0.25">
      <c r="A193" s="40"/>
      <c r="B193" s="40"/>
      <c r="C193" s="40"/>
      <c r="D193" s="35" t="s">
        <v>191</v>
      </c>
      <c r="E193" s="35">
        <v>5624</v>
      </c>
      <c r="F193" s="35" t="s">
        <v>137</v>
      </c>
      <c r="G193" s="43">
        <v>45</v>
      </c>
      <c r="H193" s="44">
        <v>0</v>
      </c>
      <c r="I193" s="44">
        <v>0</v>
      </c>
      <c r="J193" s="44">
        <v>0</v>
      </c>
      <c r="K193" s="44">
        <v>0</v>
      </c>
      <c r="L193" s="44">
        <v>0</v>
      </c>
      <c r="M193" s="44">
        <v>0</v>
      </c>
      <c r="N193" s="44">
        <v>0</v>
      </c>
      <c r="O193" s="44">
        <v>0</v>
      </c>
      <c r="P193" s="44">
        <v>0</v>
      </c>
      <c r="Q193" s="44">
        <v>0</v>
      </c>
      <c r="R193" s="44">
        <v>0</v>
      </c>
      <c r="S193" s="44">
        <v>0</v>
      </c>
      <c r="T193" s="44">
        <v>0</v>
      </c>
      <c r="U193" s="44">
        <v>0</v>
      </c>
      <c r="V193" s="44">
        <v>0</v>
      </c>
      <c r="W193" s="39">
        <v>0</v>
      </c>
      <c r="X193"/>
    </row>
    <row r="194" spans="1:24" ht="15" x14ac:dyDescent="0.25">
      <c r="A194" s="40"/>
      <c r="B194" s="40"/>
      <c r="C194" s="40"/>
      <c r="D194" s="40"/>
      <c r="E194" s="40"/>
      <c r="F194" s="41" t="s">
        <v>141</v>
      </c>
      <c r="G194" s="45">
        <v>0</v>
      </c>
      <c r="H194" s="30">
        <v>0</v>
      </c>
      <c r="I194" s="30">
        <v>0</v>
      </c>
      <c r="J194" s="30">
        <v>0</v>
      </c>
      <c r="K194" s="30">
        <v>0</v>
      </c>
      <c r="L194" s="30">
        <v>0</v>
      </c>
      <c r="M194" s="30">
        <v>0</v>
      </c>
      <c r="N194" s="30">
        <v>0</v>
      </c>
      <c r="O194" s="30">
        <v>5</v>
      </c>
      <c r="P194" s="30">
        <v>0</v>
      </c>
      <c r="Q194" s="30">
        <v>5</v>
      </c>
      <c r="R194" s="30">
        <v>0</v>
      </c>
      <c r="S194" s="30">
        <v>0</v>
      </c>
      <c r="T194" s="30">
        <v>0</v>
      </c>
      <c r="U194" s="30">
        <v>0</v>
      </c>
      <c r="V194" s="30">
        <v>10</v>
      </c>
      <c r="W194" s="42">
        <v>0</v>
      </c>
      <c r="X194"/>
    </row>
    <row r="195" spans="1:24" ht="15" x14ac:dyDescent="0.25">
      <c r="A195" s="40"/>
      <c r="B195" s="40"/>
      <c r="C195" s="40"/>
      <c r="D195" s="40"/>
      <c r="E195" s="40"/>
      <c r="F195" s="41" t="s">
        <v>144</v>
      </c>
      <c r="G195" s="45">
        <v>0</v>
      </c>
      <c r="H195" s="30">
        <v>0</v>
      </c>
      <c r="I195" s="30">
        <v>0</v>
      </c>
      <c r="J195" s="30">
        <v>8</v>
      </c>
      <c r="K195" s="30">
        <v>2</v>
      </c>
      <c r="L195" s="30">
        <v>2</v>
      </c>
      <c r="M195" s="30">
        <v>0</v>
      </c>
      <c r="N195" s="30">
        <v>0</v>
      </c>
      <c r="O195" s="30">
        <v>0</v>
      </c>
      <c r="P195" s="30">
        <v>0</v>
      </c>
      <c r="Q195" s="30">
        <v>0</v>
      </c>
      <c r="R195" s="30">
        <v>0</v>
      </c>
      <c r="S195" s="30">
        <v>0</v>
      </c>
      <c r="T195" s="30">
        <v>0</v>
      </c>
      <c r="U195" s="30">
        <v>0</v>
      </c>
      <c r="V195" s="30">
        <v>12</v>
      </c>
      <c r="W195" s="42">
        <v>0</v>
      </c>
      <c r="X195"/>
    </row>
    <row r="196" spans="1:24" ht="15" x14ac:dyDescent="0.25">
      <c r="A196" s="40"/>
      <c r="B196" s="40"/>
      <c r="C196" s="40"/>
      <c r="D196" s="63" t="s">
        <v>298</v>
      </c>
      <c r="E196" s="64"/>
      <c r="F196" s="64"/>
      <c r="G196" s="65">
        <v>45</v>
      </c>
      <c r="H196" s="66">
        <v>0</v>
      </c>
      <c r="I196" s="66">
        <v>0</v>
      </c>
      <c r="J196" s="66">
        <v>8</v>
      </c>
      <c r="K196" s="66">
        <v>2</v>
      </c>
      <c r="L196" s="66">
        <v>2</v>
      </c>
      <c r="M196" s="66">
        <v>0</v>
      </c>
      <c r="N196" s="66">
        <v>0</v>
      </c>
      <c r="O196" s="66">
        <v>5</v>
      </c>
      <c r="P196" s="66">
        <v>0</v>
      </c>
      <c r="Q196" s="66">
        <v>5</v>
      </c>
      <c r="R196" s="66">
        <v>0</v>
      </c>
      <c r="S196" s="66">
        <v>0</v>
      </c>
      <c r="T196" s="66">
        <v>0</v>
      </c>
      <c r="U196" s="66">
        <v>0</v>
      </c>
      <c r="V196" s="66">
        <v>22</v>
      </c>
      <c r="W196" s="67">
        <v>0.48888888888888887</v>
      </c>
      <c r="X196"/>
    </row>
    <row r="197" spans="1:24" ht="15" x14ac:dyDescent="0.25">
      <c r="A197" s="40"/>
      <c r="B197" s="40"/>
      <c r="C197" s="40"/>
      <c r="D197" s="35" t="s">
        <v>194</v>
      </c>
      <c r="E197" s="35">
        <v>5613</v>
      </c>
      <c r="F197" s="35" t="s">
        <v>137</v>
      </c>
      <c r="G197" s="43">
        <v>72</v>
      </c>
      <c r="H197" s="44">
        <v>0</v>
      </c>
      <c r="I197" s="44">
        <v>0</v>
      </c>
      <c r="J197" s="44">
        <v>0</v>
      </c>
      <c r="K197" s="44">
        <v>0</v>
      </c>
      <c r="L197" s="44">
        <v>0</v>
      </c>
      <c r="M197" s="44">
        <v>0</v>
      </c>
      <c r="N197" s="44">
        <v>0</v>
      </c>
      <c r="O197" s="44">
        <v>0</v>
      </c>
      <c r="P197" s="44">
        <v>0</v>
      </c>
      <c r="Q197" s="44">
        <v>0</v>
      </c>
      <c r="R197" s="44">
        <v>0</v>
      </c>
      <c r="S197" s="44">
        <v>0</v>
      </c>
      <c r="T197" s="44">
        <v>0</v>
      </c>
      <c r="U197" s="44">
        <v>0</v>
      </c>
      <c r="V197" s="44">
        <v>0</v>
      </c>
      <c r="W197" s="39">
        <v>0</v>
      </c>
      <c r="X197"/>
    </row>
    <row r="198" spans="1:24" ht="15" x14ac:dyDescent="0.25">
      <c r="A198" s="40"/>
      <c r="B198" s="40"/>
      <c r="C198" s="40"/>
      <c r="D198" s="40"/>
      <c r="E198" s="40"/>
      <c r="F198" s="41" t="s">
        <v>141</v>
      </c>
      <c r="G198" s="45">
        <v>0</v>
      </c>
      <c r="H198" s="30">
        <v>0</v>
      </c>
      <c r="I198" s="30">
        <v>0</v>
      </c>
      <c r="J198" s="30">
        <v>0</v>
      </c>
      <c r="K198" s="30">
        <v>0</v>
      </c>
      <c r="L198" s="30">
        <v>14</v>
      </c>
      <c r="M198" s="30">
        <v>10</v>
      </c>
      <c r="N198" s="30">
        <v>5</v>
      </c>
      <c r="O198" s="30">
        <v>31</v>
      </c>
      <c r="P198" s="30">
        <v>0</v>
      </c>
      <c r="Q198" s="30">
        <v>0</v>
      </c>
      <c r="R198" s="30">
        <v>12</v>
      </c>
      <c r="S198" s="30">
        <v>0</v>
      </c>
      <c r="T198" s="30">
        <v>0</v>
      </c>
      <c r="U198" s="30">
        <v>0</v>
      </c>
      <c r="V198" s="30">
        <v>72</v>
      </c>
      <c r="W198" s="42">
        <v>0</v>
      </c>
      <c r="X198"/>
    </row>
    <row r="199" spans="1:24" ht="15" x14ac:dyDescent="0.25">
      <c r="A199" s="40"/>
      <c r="B199" s="40"/>
      <c r="C199" s="40"/>
      <c r="D199" s="40"/>
      <c r="E199" s="40"/>
      <c r="F199" s="41" t="s">
        <v>144</v>
      </c>
      <c r="G199" s="45">
        <v>0</v>
      </c>
      <c r="H199" s="30">
        <v>0</v>
      </c>
      <c r="I199" s="30">
        <v>0</v>
      </c>
      <c r="J199" s="30">
        <v>0</v>
      </c>
      <c r="K199" s="30">
        <v>0</v>
      </c>
      <c r="L199" s="30">
        <v>6</v>
      </c>
      <c r="M199" s="30">
        <v>0</v>
      </c>
      <c r="N199" s="30">
        <v>0</v>
      </c>
      <c r="O199" s="30">
        <v>6</v>
      </c>
      <c r="P199" s="30">
        <v>0</v>
      </c>
      <c r="Q199" s="30">
        <v>0</v>
      </c>
      <c r="R199" s="30">
        <v>0</v>
      </c>
      <c r="S199" s="30">
        <v>0</v>
      </c>
      <c r="T199" s="30">
        <v>0</v>
      </c>
      <c r="U199" s="30">
        <v>0</v>
      </c>
      <c r="V199" s="30">
        <v>12</v>
      </c>
      <c r="W199" s="42">
        <v>0</v>
      </c>
      <c r="X199"/>
    </row>
    <row r="200" spans="1:24" ht="15" x14ac:dyDescent="0.25">
      <c r="A200" s="40"/>
      <c r="B200" s="40"/>
      <c r="C200" s="40"/>
      <c r="D200" s="63" t="s">
        <v>291</v>
      </c>
      <c r="E200" s="64"/>
      <c r="F200" s="64"/>
      <c r="G200" s="65">
        <v>72</v>
      </c>
      <c r="H200" s="66">
        <v>0</v>
      </c>
      <c r="I200" s="66">
        <v>0</v>
      </c>
      <c r="J200" s="66">
        <v>0</v>
      </c>
      <c r="K200" s="66">
        <v>0</v>
      </c>
      <c r="L200" s="66">
        <v>20</v>
      </c>
      <c r="M200" s="66">
        <v>10</v>
      </c>
      <c r="N200" s="66">
        <v>5</v>
      </c>
      <c r="O200" s="66">
        <v>37</v>
      </c>
      <c r="P200" s="66">
        <v>0</v>
      </c>
      <c r="Q200" s="66">
        <v>0</v>
      </c>
      <c r="R200" s="66">
        <v>12</v>
      </c>
      <c r="S200" s="66">
        <v>0</v>
      </c>
      <c r="T200" s="66">
        <v>0</v>
      </c>
      <c r="U200" s="66">
        <v>0</v>
      </c>
      <c r="V200" s="66">
        <v>84</v>
      </c>
      <c r="W200" s="67">
        <v>1.1666666666666667</v>
      </c>
      <c r="X200"/>
    </row>
    <row r="201" spans="1:24" ht="15" x14ac:dyDescent="0.25">
      <c r="A201" s="40"/>
      <c r="B201" s="40"/>
      <c r="C201" s="40"/>
      <c r="D201" s="35" t="s">
        <v>212</v>
      </c>
      <c r="E201" s="35">
        <v>5632</v>
      </c>
      <c r="F201" s="35" t="s">
        <v>137</v>
      </c>
      <c r="G201" s="43">
        <v>10</v>
      </c>
      <c r="H201" s="44">
        <v>0</v>
      </c>
      <c r="I201" s="44">
        <v>0</v>
      </c>
      <c r="J201" s="44">
        <v>0</v>
      </c>
      <c r="K201" s="44">
        <v>0</v>
      </c>
      <c r="L201" s="44">
        <v>0</v>
      </c>
      <c r="M201" s="44">
        <v>0</v>
      </c>
      <c r="N201" s="44">
        <v>0</v>
      </c>
      <c r="O201" s="44">
        <v>0</v>
      </c>
      <c r="P201" s="44">
        <v>0</v>
      </c>
      <c r="Q201" s="44">
        <v>0</v>
      </c>
      <c r="R201" s="44">
        <v>0</v>
      </c>
      <c r="S201" s="44">
        <v>0</v>
      </c>
      <c r="T201" s="44">
        <v>0</v>
      </c>
      <c r="U201" s="44">
        <v>0</v>
      </c>
      <c r="V201" s="44">
        <v>0</v>
      </c>
      <c r="W201" s="39">
        <v>0</v>
      </c>
      <c r="X201"/>
    </row>
    <row r="202" spans="1:24" ht="15" x14ac:dyDescent="0.25">
      <c r="A202" s="40"/>
      <c r="B202" s="40"/>
      <c r="C202" s="40"/>
      <c r="D202" s="40"/>
      <c r="E202" s="40"/>
      <c r="F202" s="41" t="s">
        <v>141</v>
      </c>
      <c r="G202" s="45">
        <v>0</v>
      </c>
      <c r="H202" s="30">
        <v>0</v>
      </c>
      <c r="I202" s="30">
        <v>0</v>
      </c>
      <c r="J202" s="30">
        <v>4</v>
      </c>
      <c r="K202" s="30">
        <v>0</v>
      </c>
      <c r="L202" s="30">
        <v>0</v>
      </c>
      <c r="M202" s="30">
        <v>0</v>
      </c>
      <c r="N202" s="30">
        <v>0</v>
      </c>
      <c r="O202" s="30">
        <v>0</v>
      </c>
      <c r="P202" s="30">
        <v>0</v>
      </c>
      <c r="Q202" s="30">
        <v>0</v>
      </c>
      <c r="R202" s="30">
        <v>0</v>
      </c>
      <c r="S202" s="30">
        <v>0</v>
      </c>
      <c r="T202" s="30">
        <v>0</v>
      </c>
      <c r="U202" s="30">
        <v>0</v>
      </c>
      <c r="V202" s="30">
        <v>4</v>
      </c>
      <c r="W202" s="42">
        <v>0</v>
      </c>
      <c r="X202"/>
    </row>
    <row r="203" spans="1:24" ht="15" x14ac:dyDescent="0.25">
      <c r="A203" s="40"/>
      <c r="B203" s="40"/>
      <c r="C203" s="40"/>
      <c r="D203" s="63" t="s">
        <v>307</v>
      </c>
      <c r="E203" s="64"/>
      <c r="F203" s="64"/>
      <c r="G203" s="65">
        <v>10</v>
      </c>
      <c r="H203" s="66">
        <v>0</v>
      </c>
      <c r="I203" s="66">
        <v>0</v>
      </c>
      <c r="J203" s="66">
        <v>4</v>
      </c>
      <c r="K203" s="66">
        <v>0</v>
      </c>
      <c r="L203" s="66">
        <v>0</v>
      </c>
      <c r="M203" s="66">
        <v>0</v>
      </c>
      <c r="N203" s="66">
        <v>0</v>
      </c>
      <c r="O203" s="66">
        <v>0</v>
      </c>
      <c r="P203" s="66">
        <v>0</v>
      </c>
      <c r="Q203" s="66">
        <v>0</v>
      </c>
      <c r="R203" s="66">
        <v>0</v>
      </c>
      <c r="S203" s="66">
        <v>0</v>
      </c>
      <c r="T203" s="66">
        <v>0</v>
      </c>
      <c r="U203" s="66">
        <v>0</v>
      </c>
      <c r="V203" s="66">
        <v>4</v>
      </c>
      <c r="W203" s="67">
        <v>0.4</v>
      </c>
      <c r="X203"/>
    </row>
    <row r="204" spans="1:24" ht="15" x14ac:dyDescent="0.25">
      <c r="A204" s="40"/>
      <c r="B204" s="40"/>
      <c r="C204" s="40"/>
      <c r="D204" s="35" t="s">
        <v>221</v>
      </c>
      <c r="E204" s="35">
        <v>5452</v>
      </c>
      <c r="F204" s="35" t="s">
        <v>137</v>
      </c>
      <c r="G204" s="43">
        <v>180</v>
      </c>
      <c r="H204" s="44">
        <v>0</v>
      </c>
      <c r="I204" s="44">
        <v>0</v>
      </c>
      <c r="J204" s="44">
        <v>0</v>
      </c>
      <c r="K204" s="44">
        <v>0</v>
      </c>
      <c r="L204" s="44">
        <v>0</v>
      </c>
      <c r="M204" s="44">
        <v>0</v>
      </c>
      <c r="N204" s="44">
        <v>0</v>
      </c>
      <c r="O204" s="44">
        <v>0</v>
      </c>
      <c r="P204" s="44">
        <v>0</v>
      </c>
      <c r="Q204" s="44">
        <v>0</v>
      </c>
      <c r="R204" s="44">
        <v>0</v>
      </c>
      <c r="S204" s="44">
        <v>0</v>
      </c>
      <c r="T204" s="44">
        <v>0</v>
      </c>
      <c r="U204" s="44">
        <v>0</v>
      </c>
      <c r="V204" s="44">
        <v>0</v>
      </c>
      <c r="W204" s="39">
        <v>0</v>
      </c>
      <c r="X204"/>
    </row>
    <row r="205" spans="1:24" ht="15" x14ac:dyDescent="0.25">
      <c r="A205" s="40"/>
      <c r="B205" s="40"/>
      <c r="C205" s="40"/>
      <c r="D205" s="40"/>
      <c r="E205" s="40"/>
      <c r="F205" s="41" t="s">
        <v>144</v>
      </c>
      <c r="G205" s="45">
        <v>0</v>
      </c>
      <c r="H205" s="30">
        <v>0</v>
      </c>
      <c r="I205" s="30">
        <v>0</v>
      </c>
      <c r="J205" s="30">
        <v>10</v>
      </c>
      <c r="K205" s="30">
        <v>5</v>
      </c>
      <c r="L205" s="30">
        <v>0</v>
      </c>
      <c r="M205" s="30">
        <v>0</v>
      </c>
      <c r="N205" s="30">
        <v>0</v>
      </c>
      <c r="O205" s="30">
        <v>10</v>
      </c>
      <c r="P205" s="30">
        <v>15</v>
      </c>
      <c r="Q205" s="30">
        <v>0</v>
      </c>
      <c r="R205" s="30">
        <v>5</v>
      </c>
      <c r="S205" s="30">
        <v>0</v>
      </c>
      <c r="T205" s="30">
        <v>5</v>
      </c>
      <c r="U205" s="30">
        <v>40</v>
      </c>
      <c r="V205" s="30">
        <v>90</v>
      </c>
      <c r="W205" s="42">
        <v>0</v>
      </c>
      <c r="X205"/>
    </row>
    <row r="206" spans="1:24" ht="15" x14ac:dyDescent="0.25">
      <c r="A206" s="40"/>
      <c r="B206" s="40"/>
      <c r="C206" s="40"/>
      <c r="D206" s="63" t="s">
        <v>297</v>
      </c>
      <c r="E206" s="64"/>
      <c r="F206" s="64"/>
      <c r="G206" s="65">
        <v>180</v>
      </c>
      <c r="H206" s="66">
        <v>0</v>
      </c>
      <c r="I206" s="66">
        <v>0</v>
      </c>
      <c r="J206" s="66">
        <v>10</v>
      </c>
      <c r="K206" s="66">
        <v>5</v>
      </c>
      <c r="L206" s="66">
        <v>0</v>
      </c>
      <c r="M206" s="66">
        <v>0</v>
      </c>
      <c r="N206" s="66">
        <v>0</v>
      </c>
      <c r="O206" s="66">
        <v>10</v>
      </c>
      <c r="P206" s="66">
        <v>15</v>
      </c>
      <c r="Q206" s="66">
        <v>0</v>
      </c>
      <c r="R206" s="66">
        <v>5</v>
      </c>
      <c r="S206" s="66">
        <v>0</v>
      </c>
      <c r="T206" s="66">
        <v>5</v>
      </c>
      <c r="U206" s="66">
        <v>40</v>
      </c>
      <c r="V206" s="66">
        <v>90</v>
      </c>
      <c r="W206" s="67">
        <v>0.5</v>
      </c>
      <c r="X206"/>
    </row>
    <row r="207" spans="1:24" ht="15" x14ac:dyDescent="0.25">
      <c r="A207" s="40"/>
      <c r="B207" s="35" t="s">
        <v>261</v>
      </c>
      <c r="C207" s="35">
        <v>54585</v>
      </c>
      <c r="D207" s="35" t="s">
        <v>194</v>
      </c>
      <c r="E207" s="35">
        <v>5613</v>
      </c>
      <c r="F207" s="35" t="s">
        <v>137</v>
      </c>
      <c r="G207" s="43">
        <v>1</v>
      </c>
      <c r="H207" s="44">
        <v>0</v>
      </c>
      <c r="I207" s="44">
        <v>0</v>
      </c>
      <c r="J207" s="44">
        <v>0</v>
      </c>
      <c r="K207" s="44">
        <v>0</v>
      </c>
      <c r="L207" s="44">
        <v>0</v>
      </c>
      <c r="M207" s="44">
        <v>0</v>
      </c>
      <c r="N207" s="44">
        <v>0</v>
      </c>
      <c r="O207" s="44">
        <v>0</v>
      </c>
      <c r="P207" s="44">
        <v>0</v>
      </c>
      <c r="Q207" s="44">
        <v>0</v>
      </c>
      <c r="R207" s="44">
        <v>0</v>
      </c>
      <c r="S207" s="44">
        <v>1</v>
      </c>
      <c r="T207" s="44">
        <v>0</v>
      </c>
      <c r="U207" s="44">
        <v>0</v>
      </c>
      <c r="V207" s="44">
        <v>1</v>
      </c>
      <c r="W207" s="39">
        <v>1</v>
      </c>
      <c r="X207"/>
    </row>
    <row r="208" spans="1:24" ht="15" x14ac:dyDescent="0.25">
      <c r="A208" s="40"/>
      <c r="B208" s="40"/>
      <c r="C208" s="40"/>
      <c r="D208" s="63" t="s">
        <v>291</v>
      </c>
      <c r="E208" s="64"/>
      <c r="F208" s="64"/>
      <c r="G208" s="65">
        <v>1</v>
      </c>
      <c r="H208" s="66">
        <v>0</v>
      </c>
      <c r="I208" s="66">
        <v>0</v>
      </c>
      <c r="J208" s="66">
        <v>0</v>
      </c>
      <c r="K208" s="66">
        <v>0</v>
      </c>
      <c r="L208" s="66">
        <v>0</v>
      </c>
      <c r="M208" s="66">
        <v>0</v>
      </c>
      <c r="N208" s="66">
        <v>0</v>
      </c>
      <c r="O208" s="66">
        <v>0</v>
      </c>
      <c r="P208" s="66">
        <v>0</v>
      </c>
      <c r="Q208" s="66">
        <v>0</v>
      </c>
      <c r="R208" s="66">
        <v>0</v>
      </c>
      <c r="S208" s="66">
        <v>1</v>
      </c>
      <c r="T208" s="66">
        <v>0</v>
      </c>
      <c r="U208" s="66">
        <v>0</v>
      </c>
      <c r="V208" s="66">
        <v>1</v>
      </c>
      <c r="W208" s="67">
        <v>1</v>
      </c>
      <c r="X208"/>
    </row>
    <row r="209" spans="1:24" ht="15" x14ac:dyDescent="0.25">
      <c r="A209" s="40"/>
      <c r="B209" s="35" t="s">
        <v>262</v>
      </c>
      <c r="C209" s="35">
        <v>55259</v>
      </c>
      <c r="D209" s="35" t="s">
        <v>194</v>
      </c>
      <c r="E209" s="35">
        <v>5613</v>
      </c>
      <c r="F209" s="35" t="s">
        <v>137</v>
      </c>
      <c r="G209" s="43">
        <v>2</v>
      </c>
      <c r="H209" s="44">
        <v>0</v>
      </c>
      <c r="I209" s="44">
        <v>0</v>
      </c>
      <c r="J209" s="44">
        <v>0</v>
      </c>
      <c r="K209" s="44">
        <v>0</v>
      </c>
      <c r="L209" s="44">
        <v>0</v>
      </c>
      <c r="M209" s="44">
        <v>0</v>
      </c>
      <c r="N209" s="44">
        <v>0</v>
      </c>
      <c r="O209" s="44">
        <v>0</v>
      </c>
      <c r="P209" s="44">
        <v>0</v>
      </c>
      <c r="Q209" s="44">
        <v>0</v>
      </c>
      <c r="R209" s="44">
        <v>0</v>
      </c>
      <c r="S209" s="44">
        <v>0</v>
      </c>
      <c r="T209" s="44">
        <v>0</v>
      </c>
      <c r="U209" s="44">
        <v>2</v>
      </c>
      <c r="V209" s="44">
        <v>2</v>
      </c>
      <c r="W209" s="39">
        <v>1</v>
      </c>
      <c r="X209"/>
    </row>
    <row r="210" spans="1:24" ht="15" x14ac:dyDescent="0.25">
      <c r="A210" s="40"/>
      <c r="B210" s="40"/>
      <c r="C210" s="40"/>
      <c r="D210" s="63" t="s">
        <v>291</v>
      </c>
      <c r="E210" s="64"/>
      <c r="F210" s="64"/>
      <c r="G210" s="65">
        <v>2</v>
      </c>
      <c r="H210" s="66">
        <v>0</v>
      </c>
      <c r="I210" s="66">
        <v>0</v>
      </c>
      <c r="J210" s="66">
        <v>0</v>
      </c>
      <c r="K210" s="66">
        <v>0</v>
      </c>
      <c r="L210" s="66">
        <v>0</v>
      </c>
      <c r="M210" s="66">
        <v>0</v>
      </c>
      <c r="N210" s="66">
        <v>0</v>
      </c>
      <c r="O210" s="66">
        <v>0</v>
      </c>
      <c r="P210" s="66">
        <v>0</v>
      </c>
      <c r="Q210" s="66">
        <v>0</v>
      </c>
      <c r="R210" s="66">
        <v>0</v>
      </c>
      <c r="S210" s="66">
        <v>0</v>
      </c>
      <c r="T210" s="66">
        <v>0</v>
      </c>
      <c r="U210" s="66">
        <v>2</v>
      </c>
      <c r="V210" s="66">
        <v>2</v>
      </c>
      <c r="W210" s="67">
        <v>1</v>
      </c>
      <c r="X210"/>
    </row>
    <row r="211" spans="1:24" ht="15" x14ac:dyDescent="0.25">
      <c r="A211" s="40"/>
      <c r="B211" s="35" t="s">
        <v>140</v>
      </c>
      <c r="C211" s="35" t="s">
        <v>139</v>
      </c>
      <c r="D211" s="35" t="s">
        <v>191</v>
      </c>
      <c r="E211" s="35">
        <v>5624</v>
      </c>
      <c r="F211" s="35" t="s">
        <v>137</v>
      </c>
      <c r="G211" s="43">
        <v>8</v>
      </c>
      <c r="H211" s="44">
        <v>0</v>
      </c>
      <c r="I211" s="44">
        <v>0</v>
      </c>
      <c r="J211" s="44">
        <v>0</v>
      </c>
      <c r="K211" s="44">
        <v>0</v>
      </c>
      <c r="L211" s="44">
        <v>0</v>
      </c>
      <c r="M211" s="44">
        <v>0</v>
      </c>
      <c r="N211" s="44">
        <v>0</v>
      </c>
      <c r="O211" s="44">
        <v>0</v>
      </c>
      <c r="P211" s="44">
        <v>0</v>
      </c>
      <c r="Q211" s="44">
        <v>0</v>
      </c>
      <c r="R211" s="44">
        <v>0</v>
      </c>
      <c r="S211" s="44">
        <v>0</v>
      </c>
      <c r="T211" s="44">
        <v>0</v>
      </c>
      <c r="U211" s="44">
        <v>0</v>
      </c>
      <c r="V211" s="44">
        <v>0</v>
      </c>
      <c r="W211" s="39">
        <v>0</v>
      </c>
      <c r="X211"/>
    </row>
    <row r="212" spans="1:24" ht="15" x14ac:dyDescent="0.25">
      <c r="A212" s="40"/>
      <c r="B212" s="40"/>
      <c r="C212" s="40"/>
      <c r="D212" s="63" t="s">
        <v>298</v>
      </c>
      <c r="E212" s="64"/>
      <c r="F212" s="64"/>
      <c r="G212" s="65">
        <v>8</v>
      </c>
      <c r="H212" s="66">
        <v>0</v>
      </c>
      <c r="I212" s="66">
        <v>0</v>
      </c>
      <c r="J212" s="66">
        <v>0</v>
      </c>
      <c r="K212" s="66">
        <v>0</v>
      </c>
      <c r="L212" s="66">
        <v>0</v>
      </c>
      <c r="M212" s="66">
        <v>0</v>
      </c>
      <c r="N212" s="66">
        <v>0</v>
      </c>
      <c r="O212" s="66">
        <v>0</v>
      </c>
      <c r="P212" s="66">
        <v>0</v>
      </c>
      <c r="Q212" s="66">
        <v>0</v>
      </c>
      <c r="R212" s="66">
        <v>0</v>
      </c>
      <c r="S212" s="66">
        <v>0</v>
      </c>
      <c r="T212" s="66">
        <v>0</v>
      </c>
      <c r="U212" s="66">
        <v>0</v>
      </c>
      <c r="V212" s="66">
        <v>0</v>
      </c>
      <c r="W212" s="67">
        <v>0</v>
      </c>
      <c r="X212"/>
    </row>
    <row r="213" spans="1:24" ht="15" x14ac:dyDescent="0.25">
      <c r="A213" s="40"/>
      <c r="B213" s="40"/>
      <c r="C213" s="40"/>
      <c r="D213" s="35" t="s">
        <v>194</v>
      </c>
      <c r="E213" s="35">
        <v>5613</v>
      </c>
      <c r="F213" s="35" t="s">
        <v>137</v>
      </c>
      <c r="G213" s="43">
        <v>96</v>
      </c>
      <c r="H213" s="44">
        <v>0</v>
      </c>
      <c r="I213" s="44">
        <v>0</v>
      </c>
      <c r="J213" s="44">
        <v>0</v>
      </c>
      <c r="K213" s="44">
        <v>0</v>
      </c>
      <c r="L213" s="44">
        <v>0</v>
      </c>
      <c r="M213" s="44">
        <v>0</v>
      </c>
      <c r="N213" s="44">
        <v>0</v>
      </c>
      <c r="O213" s="44">
        <v>0</v>
      </c>
      <c r="P213" s="44">
        <v>0</v>
      </c>
      <c r="Q213" s="44">
        <v>0</v>
      </c>
      <c r="R213" s="44">
        <v>0</v>
      </c>
      <c r="S213" s="44">
        <v>0</v>
      </c>
      <c r="T213" s="44">
        <v>0</v>
      </c>
      <c r="U213" s="44">
        <v>0</v>
      </c>
      <c r="V213" s="44">
        <v>0</v>
      </c>
      <c r="W213" s="39">
        <v>0</v>
      </c>
      <c r="X213"/>
    </row>
    <row r="214" spans="1:24" ht="15" x14ac:dyDescent="0.25">
      <c r="A214" s="40"/>
      <c r="B214" s="40"/>
      <c r="C214" s="40"/>
      <c r="D214" s="40"/>
      <c r="E214" s="40"/>
      <c r="F214" s="41" t="s">
        <v>141</v>
      </c>
      <c r="G214" s="45">
        <v>0</v>
      </c>
      <c r="H214" s="30">
        <v>0</v>
      </c>
      <c r="I214" s="30">
        <v>0</v>
      </c>
      <c r="J214" s="30">
        <v>0</v>
      </c>
      <c r="K214" s="30">
        <v>0</v>
      </c>
      <c r="L214" s="30">
        <v>0</v>
      </c>
      <c r="M214" s="30">
        <v>0</v>
      </c>
      <c r="N214" s="30">
        <v>0</v>
      </c>
      <c r="O214" s="30">
        <v>0</v>
      </c>
      <c r="P214" s="30">
        <v>0</v>
      </c>
      <c r="Q214" s="30">
        <v>0</v>
      </c>
      <c r="R214" s="30">
        <v>0</v>
      </c>
      <c r="S214" s="30">
        <v>40</v>
      </c>
      <c r="T214" s="30">
        <v>56</v>
      </c>
      <c r="U214" s="30">
        <v>0</v>
      </c>
      <c r="V214" s="30">
        <v>96</v>
      </c>
      <c r="W214" s="42">
        <v>0</v>
      </c>
      <c r="X214"/>
    </row>
    <row r="215" spans="1:24" ht="15" x14ac:dyDescent="0.25">
      <c r="A215" s="40"/>
      <c r="B215" s="40"/>
      <c r="C215" s="40"/>
      <c r="D215" s="63" t="s">
        <v>291</v>
      </c>
      <c r="E215" s="64"/>
      <c r="F215" s="64"/>
      <c r="G215" s="65">
        <v>96</v>
      </c>
      <c r="H215" s="66">
        <v>0</v>
      </c>
      <c r="I215" s="66">
        <v>0</v>
      </c>
      <c r="J215" s="66">
        <v>0</v>
      </c>
      <c r="K215" s="66">
        <v>0</v>
      </c>
      <c r="L215" s="66">
        <v>0</v>
      </c>
      <c r="M215" s="66">
        <v>0</v>
      </c>
      <c r="N215" s="66">
        <v>0</v>
      </c>
      <c r="O215" s="66">
        <v>0</v>
      </c>
      <c r="P215" s="66">
        <v>0</v>
      </c>
      <c r="Q215" s="66">
        <v>0</v>
      </c>
      <c r="R215" s="66">
        <v>0</v>
      </c>
      <c r="S215" s="66">
        <v>40</v>
      </c>
      <c r="T215" s="66">
        <v>56</v>
      </c>
      <c r="U215" s="66">
        <v>0</v>
      </c>
      <c r="V215" s="66">
        <v>96</v>
      </c>
      <c r="W215" s="67">
        <v>1</v>
      </c>
      <c r="X215"/>
    </row>
    <row r="216" spans="1:24" ht="15" x14ac:dyDescent="0.25">
      <c r="A216" s="40"/>
      <c r="B216" s="40"/>
      <c r="C216" s="40"/>
      <c r="D216" s="35" t="s">
        <v>263</v>
      </c>
      <c r="E216" s="35">
        <v>5653</v>
      </c>
      <c r="F216" s="35" t="s">
        <v>137</v>
      </c>
      <c r="G216" s="43">
        <v>132</v>
      </c>
      <c r="H216" s="44">
        <v>0</v>
      </c>
      <c r="I216" s="44">
        <v>0</v>
      </c>
      <c r="J216" s="44">
        <v>0</v>
      </c>
      <c r="K216" s="44">
        <v>0</v>
      </c>
      <c r="L216" s="44">
        <v>0</v>
      </c>
      <c r="M216" s="44">
        <v>0</v>
      </c>
      <c r="N216" s="44">
        <v>0</v>
      </c>
      <c r="O216" s="44">
        <v>0</v>
      </c>
      <c r="P216" s="44">
        <v>0</v>
      </c>
      <c r="Q216" s="44">
        <v>0</v>
      </c>
      <c r="R216" s="44">
        <v>0</v>
      </c>
      <c r="S216" s="44">
        <v>0</v>
      </c>
      <c r="T216" s="44">
        <v>0</v>
      </c>
      <c r="U216" s="44">
        <v>0</v>
      </c>
      <c r="V216" s="44">
        <v>0</v>
      </c>
      <c r="W216" s="39">
        <v>0</v>
      </c>
      <c r="X216"/>
    </row>
    <row r="217" spans="1:24" ht="15" x14ac:dyDescent="0.25">
      <c r="A217" s="40"/>
      <c r="B217" s="40"/>
      <c r="C217" s="40"/>
      <c r="D217" s="40"/>
      <c r="E217" s="40"/>
      <c r="F217" s="41" t="s">
        <v>141</v>
      </c>
      <c r="G217" s="45">
        <v>0</v>
      </c>
      <c r="H217" s="30">
        <v>0</v>
      </c>
      <c r="I217" s="30">
        <v>0</v>
      </c>
      <c r="J217" s="30">
        <v>0</v>
      </c>
      <c r="K217" s="30">
        <v>0</v>
      </c>
      <c r="L217" s="30">
        <v>0</v>
      </c>
      <c r="M217" s="30">
        <v>0</v>
      </c>
      <c r="N217" s="30">
        <v>0</v>
      </c>
      <c r="O217" s="30">
        <v>0</v>
      </c>
      <c r="P217" s="30">
        <v>0</v>
      </c>
      <c r="Q217" s="30">
        <v>0</v>
      </c>
      <c r="R217" s="30">
        <v>0</v>
      </c>
      <c r="S217" s="30">
        <v>0</v>
      </c>
      <c r="T217" s="30">
        <v>18</v>
      </c>
      <c r="U217" s="30">
        <v>0</v>
      </c>
      <c r="V217" s="30">
        <v>18</v>
      </c>
      <c r="W217" s="42">
        <v>0</v>
      </c>
      <c r="X217"/>
    </row>
    <row r="218" spans="1:24" ht="15" x14ac:dyDescent="0.25">
      <c r="A218" s="40"/>
      <c r="B218" s="40"/>
      <c r="C218" s="40"/>
      <c r="D218" s="63" t="s">
        <v>310</v>
      </c>
      <c r="E218" s="64"/>
      <c r="F218" s="64"/>
      <c r="G218" s="65">
        <v>132</v>
      </c>
      <c r="H218" s="66">
        <v>0</v>
      </c>
      <c r="I218" s="66">
        <v>0</v>
      </c>
      <c r="J218" s="66">
        <v>0</v>
      </c>
      <c r="K218" s="66">
        <v>0</v>
      </c>
      <c r="L218" s="66">
        <v>0</v>
      </c>
      <c r="M218" s="66">
        <v>0</v>
      </c>
      <c r="N218" s="66">
        <v>0</v>
      </c>
      <c r="O218" s="66">
        <v>0</v>
      </c>
      <c r="P218" s="66">
        <v>0</v>
      </c>
      <c r="Q218" s="66">
        <v>0</v>
      </c>
      <c r="R218" s="66">
        <v>0</v>
      </c>
      <c r="S218" s="66">
        <v>0</v>
      </c>
      <c r="T218" s="66">
        <v>18</v>
      </c>
      <c r="U218" s="66">
        <v>0</v>
      </c>
      <c r="V218" s="66">
        <v>18</v>
      </c>
      <c r="W218" s="67">
        <v>0.13636363636363635</v>
      </c>
      <c r="X218"/>
    </row>
    <row r="219" spans="1:24" ht="15" x14ac:dyDescent="0.25">
      <c r="A219" s="40"/>
      <c r="B219" s="35" t="s">
        <v>264</v>
      </c>
      <c r="C219" s="35">
        <v>53249</v>
      </c>
      <c r="D219" s="35" t="s">
        <v>194</v>
      </c>
      <c r="E219" s="35">
        <v>5613</v>
      </c>
      <c r="F219" s="35" t="s">
        <v>141</v>
      </c>
      <c r="G219" s="43">
        <v>1</v>
      </c>
      <c r="H219" s="44">
        <v>0</v>
      </c>
      <c r="I219" s="44">
        <v>0</v>
      </c>
      <c r="J219" s="44">
        <v>0</v>
      </c>
      <c r="K219" s="44">
        <v>0</v>
      </c>
      <c r="L219" s="44">
        <v>0</v>
      </c>
      <c r="M219" s="44">
        <v>0</v>
      </c>
      <c r="N219" s="44">
        <v>0</v>
      </c>
      <c r="O219" s="44">
        <v>1</v>
      </c>
      <c r="P219" s="44">
        <v>0</v>
      </c>
      <c r="Q219" s="44">
        <v>0</v>
      </c>
      <c r="R219" s="44">
        <v>0</v>
      </c>
      <c r="S219" s="44">
        <v>0</v>
      </c>
      <c r="T219" s="44">
        <v>0</v>
      </c>
      <c r="U219" s="44">
        <v>0</v>
      </c>
      <c r="V219" s="44">
        <v>1</v>
      </c>
      <c r="W219" s="39">
        <v>1</v>
      </c>
      <c r="X219"/>
    </row>
    <row r="220" spans="1:24" ht="15" x14ac:dyDescent="0.25">
      <c r="A220" s="40"/>
      <c r="B220" s="40"/>
      <c r="C220" s="40"/>
      <c r="D220" s="63" t="s">
        <v>291</v>
      </c>
      <c r="E220" s="64"/>
      <c r="F220" s="64"/>
      <c r="G220" s="65">
        <v>1</v>
      </c>
      <c r="H220" s="66">
        <v>0</v>
      </c>
      <c r="I220" s="66">
        <v>0</v>
      </c>
      <c r="J220" s="66">
        <v>0</v>
      </c>
      <c r="K220" s="66">
        <v>0</v>
      </c>
      <c r="L220" s="66">
        <v>0</v>
      </c>
      <c r="M220" s="66">
        <v>0</v>
      </c>
      <c r="N220" s="66">
        <v>0</v>
      </c>
      <c r="O220" s="66">
        <v>1</v>
      </c>
      <c r="P220" s="66">
        <v>0</v>
      </c>
      <c r="Q220" s="66">
        <v>0</v>
      </c>
      <c r="R220" s="66">
        <v>0</v>
      </c>
      <c r="S220" s="66">
        <v>0</v>
      </c>
      <c r="T220" s="66">
        <v>0</v>
      </c>
      <c r="U220" s="66">
        <v>0</v>
      </c>
      <c r="V220" s="66">
        <v>1</v>
      </c>
      <c r="W220" s="67">
        <v>1</v>
      </c>
      <c r="X220"/>
    </row>
    <row r="221" spans="1:24" ht="15" x14ac:dyDescent="0.25">
      <c r="A221" s="40"/>
      <c r="B221" s="35" t="s">
        <v>143</v>
      </c>
      <c r="C221" s="35" t="s">
        <v>142</v>
      </c>
      <c r="D221" s="35" t="s">
        <v>263</v>
      </c>
      <c r="E221" s="35">
        <v>5653</v>
      </c>
      <c r="F221" s="35" t="s">
        <v>141</v>
      </c>
      <c r="G221" s="43">
        <v>0</v>
      </c>
      <c r="H221" s="44">
        <v>0</v>
      </c>
      <c r="I221" s="44">
        <v>0</v>
      </c>
      <c r="J221" s="44">
        <v>0</v>
      </c>
      <c r="K221" s="44">
        <v>18</v>
      </c>
      <c r="L221" s="44">
        <v>0</v>
      </c>
      <c r="M221" s="44">
        <v>32</v>
      </c>
      <c r="N221" s="44">
        <v>21</v>
      </c>
      <c r="O221" s="44">
        <v>109</v>
      </c>
      <c r="P221" s="44">
        <v>0</v>
      </c>
      <c r="Q221" s="44">
        <v>0</v>
      </c>
      <c r="R221" s="44">
        <v>0</v>
      </c>
      <c r="S221" s="44">
        <v>18</v>
      </c>
      <c r="T221" s="44">
        <v>18</v>
      </c>
      <c r="U221" s="44">
        <v>0</v>
      </c>
      <c r="V221" s="44">
        <v>216</v>
      </c>
      <c r="W221" s="39">
        <v>0</v>
      </c>
      <c r="X221"/>
    </row>
    <row r="222" spans="1:24" ht="15" x14ac:dyDescent="0.25">
      <c r="A222" s="40"/>
      <c r="B222" s="40"/>
      <c r="C222" s="40"/>
      <c r="D222" s="40"/>
      <c r="E222" s="40"/>
      <c r="F222" s="41" t="s">
        <v>144</v>
      </c>
      <c r="G222" s="45">
        <v>180</v>
      </c>
      <c r="H222" s="30">
        <v>0</v>
      </c>
      <c r="I222" s="30">
        <v>0</v>
      </c>
      <c r="J222" s="30">
        <v>0</v>
      </c>
      <c r="K222" s="30">
        <v>0</v>
      </c>
      <c r="L222" s="30">
        <v>0</v>
      </c>
      <c r="M222" s="30">
        <v>0</v>
      </c>
      <c r="N222" s="30">
        <v>0</v>
      </c>
      <c r="O222" s="30">
        <v>0</v>
      </c>
      <c r="P222" s="30">
        <v>0</v>
      </c>
      <c r="Q222" s="30">
        <v>0</v>
      </c>
      <c r="R222" s="30">
        <v>0</v>
      </c>
      <c r="S222" s="30">
        <v>0</v>
      </c>
      <c r="T222" s="30">
        <v>0</v>
      </c>
      <c r="U222" s="30">
        <v>0</v>
      </c>
      <c r="V222" s="30">
        <v>0</v>
      </c>
      <c r="W222" s="42">
        <v>0</v>
      </c>
      <c r="X222"/>
    </row>
    <row r="223" spans="1:24" ht="15" x14ac:dyDescent="0.25">
      <c r="A223" s="40"/>
      <c r="B223" s="40"/>
      <c r="C223" s="40"/>
      <c r="D223" s="63" t="s">
        <v>310</v>
      </c>
      <c r="E223" s="64"/>
      <c r="F223" s="64"/>
      <c r="G223" s="65">
        <v>180</v>
      </c>
      <c r="H223" s="66">
        <v>0</v>
      </c>
      <c r="I223" s="66">
        <v>0</v>
      </c>
      <c r="J223" s="66">
        <v>0</v>
      </c>
      <c r="K223" s="66">
        <v>18</v>
      </c>
      <c r="L223" s="66">
        <v>0</v>
      </c>
      <c r="M223" s="66">
        <v>32</v>
      </c>
      <c r="N223" s="66">
        <v>21</v>
      </c>
      <c r="O223" s="66">
        <v>109</v>
      </c>
      <c r="P223" s="66">
        <v>0</v>
      </c>
      <c r="Q223" s="66">
        <v>0</v>
      </c>
      <c r="R223" s="66">
        <v>0</v>
      </c>
      <c r="S223" s="66">
        <v>18</v>
      </c>
      <c r="T223" s="66">
        <v>18</v>
      </c>
      <c r="U223" s="66">
        <v>0</v>
      </c>
      <c r="V223" s="66">
        <v>216</v>
      </c>
      <c r="W223" s="67">
        <v>1.2</v>
      </c>
      <c r="X223"/>
    </row>
    <row r="224" spans="1:24" ht="15" x14ac:dyDescent="0.25">
      <c r="A224" s="40"/>
      <c r="B224" s="35" t="s">
        <v>266</v>
      </c>
      <c r="C224" s="35" t="s">
        <v>265</v>
      </c>
      <c r="D224" s="35" t="s">
        <v>194</v>
      </c>
      <c r="E224" s="35">
        <v>5613</v>
      </c>
      <c r="F224" s="35" t="s">
        <v>144</v>
      </c>
      <c r="G224" s="43">
        <v>1</v>
      </c>
      <c r="H224" s="44">
        <v>0</v>
      </c>
      <c r="I224" s="44">
        <v>0</v>
      </c>
      <c r="J224" s="44">
        <v>0</v>
      </c>
      <c r="K224" s="44">
        <v>0</v>
      </c>
      <c r="L224" s="44">
        <v>0</v>
      </c>
      <c r="M224" s="44">
        <v>0</v>
      </c>
      <c r="N224" s="44">
        <v>0</v>
      </c>
      <c r="O224" s="44">
        <v>0</v>
      </c>
      <c r="P224" s="44">
        <v>0</v>
      </c>
      <c r="Q224" s="44">
        <v>0</v>
      </c>
      <c r="R224" s="44">
        <v>0</v>
      </c>
      <c r="S224" s="44">
        <v>0</v>
      </c>
      <c r="T224" s="44">
        <v>1</v>
      </c>
      <c r="U224" s="44">
        <v>0</v>
      </c>
      <c r="V224" s="44">
        <v>1</v>
      </c>
      <c r="W224" s="39">
        <v>1</v>
      </c>
      <c r="X224"/>
    </row>
    <row r="225" spans="1:24" ht="15" x14ac:dyDescent="0.25">
      <c r="A225" s="40"/>
      <c r="B225" s="40"/>
      <c r="C225" s="40"/>
      <c r="D225" s="63" t="s">
        <v>291</v>
      </c>
      <c r="E225" s="64"/>
      <c r="F225" s="64"/>
      <c r="G225" s="65">
        <v>1</v>
      </c>
      <c r="H225" s="66">
        <v>0</v>
      </c>
      <c r="I225" s="66">
        <v>0</v>
      </c>
      <c r="J225" s="66">
        <v>0</v>
      </c>
      <c r="K225" s="66">
        <v>0</v>
      </c>
      <c r="L225" s="66">
        <v>0</v>
      </c>
      <c r="M225" s="66">
        <v>0</v>
      </c>
      <c r="N225" s="66">
        <v>0</v>
      </c>
      <c r="O225" s="66">
        <v>0</v>
      </c>
      <c r="P225" s="66">
        <v>0</v>
      </c>
      <c r="Q225" s="66">
        <v>0</v>
      </c>
      <c r="R225" s="66">
        <v>0</v>
      </c>
      <c r="S225" s="66">
        <v>0</v>
      </c>
      <c r="T225" s="66">
        <v>1</v>
      </c>
      <c r="U225" s="66">
        <v>0</v>
      </c>
      <c r="V225" s="66">
        <v>1</v>
      </c>
      <c r="W225" s="67">
        <v>1</v>
      </c>
      <c r="X225"/>
    </row>
    <row r="226" spans="1:24" ht="15" x14ac:dyDescent="0.25">
      <c r="A226" s="47" t="s">
        <v>147</v>
      </c>
      <c r="B226" s="57"/>
      <c r="C226" s="57"/>
      <c r="D226" s="57"/>
      <c r="E226" s="57"/>
      <c r="F226" s="57"/>
      <c r="G226" s="58">
        <v>1340.5</v>
      </c>
      <c r="H226" s="59">
        <v>0</v>
      </c>
      <c r="I226" s="59">
        <v>0</v>
      </c>
      <c r="J226" s="59">
        <v>73</v>
      </c>
      <c r="K226" s="59">
        <v>76</v>
      </c>
      <c r="L226" s="59">
        <v>77</v>
      </c>
      <c r="M226" s="59">
        <v>42</v>
      </c>
      <c r="N226" s="59">
        <v>128</v>
      </c>
      <c r="O226" s="59">
        <v>213</v>
      </c>
      <c r="P226" s="59">
        <v>78</v>
      </c>
      <c r="Q226" s="59">
        <v>56</v>
      </c>
      <c r="R226" s="59">
        <v>72</v>
      </c>
      <c r="S226" s="59">
        <v>112</v>
      </c>
      <c r="T226" s="59">
        <v>100</v>
      </c>
      <c r="U226" s="59">
        <v>42</v>
      </c>
      <c r="V226" s="59">
        <v>1069</v>
      </c>
      <c r="W226" s="60">
        <v>0.79746363297277134</v>
      </c>
      <c r="X226"/>
    </row>
    <row r="227" spans="1:24" ht="15" x14ac:dyDescent="0.25">
      <c r="A227" s="35" t="s">
        <v>69</v>
      </c>
      <c r="B227" s="35" t="s">
        <v>171</v>
      </c>
      <c r="C227" s="35">
        <v>52825</v>
      </c>
      <c r="D227" s="35" t="s">
        <v>191</v>
      </c>
      <c r="E227" s="35">
        <v>5624</v>
      </c>
      <c r="F227" s="35" t="s">
        <v>145</v>
      </c>
      <c r="G227" s="43">
        <v>2</v>
      </c>
      <c r="H227" s="44">
        <v>0</v>
      </c>
      <c r="I227" s="44">
        <v>0</v>
      </c>
      <c r="J227" s="44">
        <v>0</v>
      </c>
      <c r="K227" s="44">
        <v>0</v>
      </c>
      <c r="L227" s="44">
        <v>0</v>
      </c>
      <c r="M227" s="44">
        <v>2</v>
      </c>
      <c r="N227" s="44">
        <v>0</v>
      </c>
      <c r="O227" s="44">
        <v>0</v>
      </c>
      <c r="P227" s="44">
        <v>0</v>
      </c>
      <c r="Q227" s="44">
        <v>0</v>
      </c>
      <c r="R227" s="44">
        <v>0</v>
      </c>
      <c r="S227" s="44">
        <v>0</v>
      </c>
      <c r="T227" s="44">
        <v>0</v>
      </c>
      <c r="U227" s="44">
        <v>0</v>
      </c>
      <c r="V227" s="44">
        <v>2</v>
      </c>
      <c r="W227" s="39">
        <v>1</v>
      </c>
      <c r="X227"/>
    </row>
    <row r="228" spans="1:24" ht="15" x14ac:dyDescent="0.25">
      <c r="A228" s="40"/>
      <c r="B228" s="40"/>
      <c r="C228" s="40"/>
      <c r="D228" s="63" t="s">
        <v>298</v>
      </c>
      <c r="E228" s="64"/>
      <c r="F228" s="64"/>
      <c r="G228" s="65">
        <v>2</v>
      </c>
      <c r="H228" s="66">
        <v>0</v>
      </c>
      <c r="I228" s="66">
        <v>0</v>
      </c>
      <c r="J228" s="66">
        <v>0</v>
      </c>
      <c r="K228" s="66">
        <v>0</v>
      </c>
      <c r="L228" s="66">
        <v>0</v>
      </c>
      <c r="M228" s="66">
        <v>2</v>
      </c>
      <c r="N228" s="66">
        <v>0</v>
      </c>
      <c r="O228" s="66">
        <v>0</v>
      </c>
      <c r="P228" s="66">
        <v>0</v>
      </c>
      <c r="Q228" s="66">
        <v>0</v>
      </c>
      <c r="R228" s="66">
        <v>0</v>
      </c>
      <c r="S228" s="66">
        <v>0</v>
      </c>
      <c r="T228" s="66">
        <v>0</v>
      </c>
      <c r="U228" s="66">
        <v>0</v>
      </c>
      <c r="V228" s="66">
        <v>2</v>
      </c>
      <c r="W228" s="67">
        <v>1</v>
      </c>
      <c r="X228"/>
    </row>
    <row r="229" spans="1:24" ht="15" x14ac:dyDescent="0.25">
      <c r="A229" s="40"/>
      <c r="B229" s="35" t="s">
        <v>279</v>
      </c>
      <c r="C229" s="35">
        <v>52933</v>
      </c>
      <c r="D229" s="35" t="s">
        <v>191</v>
      </c>
      <c r="E229" s="35">
        <v>5624</v>
      </c>
      <c r="F229" s="35" t="s">
        <v>145</v>
      </c>
      <c r="G229" s="43">
        <v>2</v>
      </c>
      <c r="H229" s="44">
        <v>0</v>
      </c>
      <c r="I229" s="44">
        <v>0</v>
      </c>
      <c r="J229" s="44">
        <v>0</v>
      </c>
      <c r="K229" s="44">
        <v>0</v>
      </c>
      <c r="L229" s="44">
        <v>0</v>
      </c>
      <c r="M229" s="44">
        <v>0</v>
      </c>
      <c r="N229" s="44">
        <v>2</v>
      </c>
      <c r="O229" s="44">
        <v>0</v>
      </c>
      <c r="P229" s="44">
        <v>0</v>
      </c>
      <c r="Q229" s="44">
        <v>0</v>
      </c>
      <c r="R229" s="44">
        <v>0</v>
      </c>
      <c r="S229" s="44">
        <v>0</v>
      </c>
      <c r="T229" s="44">
        <v>0</v>
      </c>
      <c r="U229" s="44">
        <v>0</v>
      </c>
      <c r="V229" s="44">
        <v>2</v>
      </c>
      <c r="W229" s="39">
        <v>1</v>
      </c>
      <c r="X229"/>
    </row>
    <row r="230" spans="1:24" ht="15" x14ac:dyDescent="0.25">
      <c r="A230" s="40"/>
      <c r="B230" s="40"/>
      <c r="C230" s="40"/>
      <c r="D230" s="63" t="s">
        <v>298</v>
      </c>
      <c r="E230" s="64"/>
      <c r="F230" s="64"/>
      <c r="G230" s="65">
        <v>2</v>
      </c>
      <c r="H230" s="66">
        <v>0</v>
      </c>
      <c r="I230" s="66">
        <v>0</v>
      </c>
      <c r="J230" s="66">
        <v>0</v>
      </c>
      <c r="K230" s="66">
        <v>0</v>
      </c>
      <c r="L230" s="66">
        <v>0</v>
      </c>
      <c r="M230" s="66">
        <v>0</v>
      </c>
      <c r="N230" s="66">
        <v>2</v>
      </c>
      <c r="O230" s="66">
        <v>0</v>
      </c>
      <c r="P230" s="66">
        <v>0</v>
      </c>
      <c r="Q230" s="66">
        <v>0</v>
      </c>
      <c r="R230" s="66">
        <v>0</v>
      </c>
      <c r="S230" s="66">
        <v>0</v>
      </c>
      <c r="T230" s="66">
        <v>0</v>
      </c>
      <c r="U230" s="66">
        <v>0</v>
      </c>
      <c r="V230" s="66">
        <v>2</v>
      </c>
      <c r="W230" s="67">
        <v>1</v>
      </c>
      <c r="X230"/>
    </row>
    <row r="231" spans="1:24" ht="15" x14ac:dyDescent="0.25">
      <c r="A231" s="40"/>
      <c r="B231" s="35" t="s">
        <v>172</v>
      </c>
      <c r="C231" s="35">
        <v>1667</v>
      </c>
      <c r="D231" s="35" t="s">
        <v>214</v>
      </c>
      <c r="E231" s="35">
        <v>6086</v>
      </c>
      <c r="F231" s="35" t="s">
        <v>145</v>
      </c>
      <c r="G231" s="43">
        <v>6</v>
      </c>
      <c r="H231" s="44">
        <v>0</v>
      </c>
      <c r="I231" s="44">
        <v>0</v>
      </c>
      <c r="J231" s="44">
        <v>0</v>
      </c>
      <c r="K231" s="44">
        <v>0</v>
      </c>
      <c r="L231" s="44">
        <v>0</v>
      </c>
      <c r="M231" s="44">
        <v>0</v>
      </c>
      <c r="N231" s="44">
        <v>0</v>
      </c>
      <c r="O231" s="44">
        <v>0</v>
      </c>
      <c r="P231" s="44">
        <v>0</v>
      </c>
      <c r="Q231" s="44">
        <v>6</v>
      </c>
      <c r="R231" s="44">
        <v>0</v>
      </c>
      <c r="S231" s="44">
        <v>0</v>
      </c>
      <c r="T231" s="44">
        <v>0</v>
      </c>
      <c r="U231" s="44">
        <v>0</v>
      </c>
      <c r="V231" s="44">
        <v>6</v>
      </c>
      <c r="W231" s="39">
        <v>1</v>
      </c>
      <c r="X231"/>
    </row>
    <row r="232" spans="1:24" ht="15" x14ac:dyDescent="0.25">
      <c r="A232" s="40"/>
      <c r="B232" s="40"/>
      <c r="C232" s="40"/>
      <c r="D232" s="63" t="s">
        <v>301</v>
      </c>
      <c r="E232" s="64"/>
      <c r="F232" s="64"/>
      <c r="G232" s="65">
        <v>6</v>
      </c>
      <c r="H232" s="66">
        <v>0</v>
      </c>
      <c r="I232" s="66">
        <v>0</v>
      </c>
      <c r="J232" s="66">
        <v>0</v>
      </c>
      <c r="K232" s="66">
        <v>0</v>
      </c>
      <c r="L232" s="66">
        <v>0</v>
      </c>
      <c r="M232" s="66">
        <v>0</v>
      </c>
      <c r="N232" s="66">
        <v>0</v>
      </c>
      <c r="O232" s="66">
        <v>0</v>
      </c>
      <c r="P232" s="66">
        <v>0</v>
      </c>
      <c r="Q232" s="66">
        <v>6</v>
      </c>
      <c r="R232" s="66">
        <v>0</v>
      </c>
      <c r="S232" s="66">
        <v>0</v>
      </c>
      <c r="T232" s="66">
        <v>0</v>
      </c>
      <c r="U232" s="66">
        <v>0</v>
      </c>
      <c r="V232" s="66">
        <v>6</v>
      </c>
      <c r="W232" s="67">
        <v>1</v>
      </c>
      <c r="X232"/>
    </row>
    <row r="233" spans="1:24" ht="15" x14ac:dyDescent="0.25">
      <c r="A233" s="40"/>
      <c r="B233" s="35" t="s">
        <v>280</v>
      </c>
      <c r="C233" s="35">
        <v>55197</v>
      </c>
      <c r="D233" s="35" t="s">
        <v>214</v>
      </c>
      <c r="E233" s="35">
        <v>6086</v>
      </c>
      <c r="F233" s="35" t="s">
        <v>145</v>
      </c>
      <c r="G233" s="43">
        <v>3</v>
      </c>
      <c r="H233" s="44">
        <v>0</v>
      </c>
      <c r="I233" s="44">
        <v>0</v>
      </c>
      <c r="J233" s="44">
        <v>0</v>
      </c>
      <c r="K233" s="44">
        <v>0</v>
      </c>
      <c r="L233" s="44">
        <v>0</v>
      </c>
      <c r="M233" s="44">
        <v>0</v>
      </c>
      <c r="N233" s="44">
        <v>0</v>
      </c>
      <c r="O233" s="44">
        <v>0</v>
      </c>
      <c r="P233" s="44">
        <v>0</v>
      </c>
      <c r="Q233" s="44">
        <v>0</v>
      </c>
      <c r="R233" s="44">
        <v>0</v>
      </c>
      <c r="S233" s="44">
        <v>0</v>
      </c>
      <c r="T233" s="44">
        <v>0</v>
      </c>
      <c r="U233" s="44">
        <v>3</v>
      </c>
      <c r="V233" s="44">
        <v>3</v>
      </c>
      <c r="W233" s="39">
        <v>1</v>
      </c>
      <c r="X233"/>
    </row>
    <row r="234" spans="1:24" ht="15" x14ac:dyDescent="0.25">
      <c r="A234" s="40"/>
      <c r="B234" s="40"/>
      <c r="C234" s="40"/>
      <c r="D234" s="63" t="s">
        <v>301</v>
      </c>
      <c r="E234" s="64"/>
      <c r="F234" s="64"/>
      <c r="G234" s="65">
        <v>3</v>
      </c>
      <c r="H234" s="66">
        <v>0</v>
      </c>
      <c r="I234" s="66">
        <v>0</v>
      </c>
      <c r="J234" s="66">
        <v>0</v>
      </c>
      <c r="K234" s="66">
        <v>0</v>
      </c>
      <c r="L234" s="66">
        <v>0</v>
      </c>
      <c r="M234" s="66">
        <v>0</v>
      </c>
      <c r="N234" s="66">
        <v>0</v>
      </c>
      <c r="O234" s="66">
        <v>0</v>
      </c>
      <c r="P234" s="66">
        <v>0</v>
      </c>
      <c r="Q234" s="66">
        <v>0</v>
      </c>
      <c r="R234" s="66">
        <v>0</v>
      </c>
      <c r="S234" s="66">
        <v>0</v>
      </c>
      <c r="T234" s="66">
        <v>0</v>
      </c>
      <c r="U234" s="66">
        <v>3</v>
      </c>
      <c r="V234" s="66">
        <v>3</v>
      </c>
      <c r="W234" s="67">
        <v>1</v>
      </c>
      <c r="X234"/>
    </row>
    <row r="235" spans="1:24" ht="15" x14ac:dyDescent="0.25">
      <c r="A235" s="40"/>
      <c r="B235" s="40"/>
      <c r="C235" s="35">
        <v>18662994</v>
      </c>
      <c r="D235" s="35" t="s">
        <v>214</v>
      </c>
      <c r="E235" s="35">
        <v>6086</v>
      </c>
      <c r="F235" s="35" t="s">
        <v>145</v>
      </c>
      <c r="G235" s="43">
        <v>9</v>
      </c>
      <c r="H235" s="44">
        <v>0</v>
      </c>
      <c r="I235" s="44">
        <v>0</v>
      </c>
      <c r="J235" s="44">
        <v>0</v>
      </c>
      <c r="K235" s="44">
        <v>0</v>
      </c>
      <c r="L235" s="44">
        <v>0</v>
      </c>
      <c r="M235" s="44">
        <v>0</v>
      </c>
      <c r="N235" s="44">
        <v>0</v>
      </c>
      <c r="O235" s="44">
        <v>0</v>
      </c>
      <c r="P235" s="44">
        <v>0</v>
      </c>
      <c r="Q235" s="44">
        <v>0</v>
      </c>
      <c r="R235" s="44">
        <v>0</v>
      </c>
      <c r="S235" s="44">
        <v>0</v>
      </c>
      <c r="T235" s="44">
        <v>0</v>
      </c>
      <c r="U235" s="44">
        <v>9</v>
      </c>
      <c r="V235" s="44">
        <v>9</v>
      </c>
      <c r="W235" s="39">
        <v>1</v>
      </c>
      <c r="X235"/>
    </row>
    <row r="236" spans="1:24" ht="15" x14ac:dyDescent="0.25">
      <c r="A236" s="40"/>
      <c r="B236" s="40"/>
      <c r="C236" s="40"/>
      <c r="D236" s="63" t="s">
        <v>301</v>
      </c>
      <c r="E236" s="64"/>
      <c r="F236" s="64"/>
      <c r="G236" s="65">
        <v>9</v>
      </c>
      <c r="H236" s="66">
        <v>0</v>
      </c>
      <c r="I236" s="66">
        <v>0</v>
      </c>
      <c r="J236" s="66">
        <v>0</v>
      </c>
      <c r="K236" s="66">
        <v>0</v>
      </c>
      <c r="L236" s="66">
        <v>0</v>
      </c>
      <c r="M236" s="66">
        <v>0</v>
      </c>
      <c r="N236" s="66">
        <v>0</v>
      </c>
      <c r="O236" s="66">
        <v>0</v>
      </c>
      <c r="P236" s="66">
        <v>0</v>
      </c>
      <c r="Q236" s="66">
        <v>0</v>
      </c>
      <c r="R236" s="66">
        <v>0</v>
      </c>
      <c r="S236" s="66">
        <v>0</v>
      </c>
      <c r="T236" s="66">
        <v>0</v>
      </c>
      <c r="U236" s="66">
        <v>9</v>
      </c>
      <c r="V236" s="66">
        <v>9</v>
      </c>
      <c r="W236" s="67">
        <v>1</v>
      </c>
      <c r="X236"/>
    </row>
    <row r="237" spans="1:24" ht="15" x14ac:dyDescent="0.25">
      <c r="A237" s="40"/>
      <c r="B237" s="35" t="s">
        <v>281</v>
      </c>
      <c r="C237" s="35">
        <v>18562466</v>
      </c>
      <c r="D237" s="35" t="s">
        <v>214</v>
      </c>
      <c r="E237" s="35">
        <v>6086</v>
      </c>
      <c r="F237" s="35" t="s">
        <v>145</v>
      </c>
      <c r="G237" s="43">
        <v>6</v>
      </c>
      <c r="H237" s="44">
        <v>0</v>
      </c>
      <c r="I237" s="44">
        <v>0</v>
      </c>
      <c r="J237" s="44">
        <v>0</v>
      </c>
      <c r="K237" s="44">
        <v>0</v>
      </c>
      <c r="L237" s="44">
        <v>0</v>
      </c>
      <c r="M237" s="44">
        <v>0</v>
      </c>
      <c r="N237" s="44">
        <v>0</v>
      </c>
      <c r="O237" s="44">
        <v>0</v>
      </c>
      <c r="P237" s="44">
        <v>0</v>
      </c>
      <c r="Q237" s="44">
        <v>0</v>
      </c>
      <c r="R237" s="44">
        <v>0</v>
      </c>
      <c r="S237" s="44">
        <v>6</v>
      </c>
      <c r="T237" s="44">
        <v>0</v>
      </c>
      <c r="U237" s="44">
        <v>0</v>
      </c>
      <c r="V237" s="44">
        <v>6</v>
      </c>
      <c r="W237" s="39">
        <v>1</v>
      </c>
      <c r="X237"/>
    </row>
    <row r="238" spans="1:24" ht="15" x14ac:dyDescent="0.25">
      <c r="A238" s="40"/>
      <c r="B238" s="40"/>
      <c r="C238" s="40"/>
      <c r="D238" s="63" t="s">
        <v>301</v>
      </c>
      <c r="E238" s="64"/>
      <c r="F238" s="64"/>
      <c r="G238" s="65">
        <v>6</v>
      </c>
      <c r="H238" s="66">
        <v>0</v>
      </c>
      <c r="I238" s="66">
        <v>0</v>
      </c>
      <c r="J238" s="66">
        <v>0</v>
      </c>
      <c r="K238" s="66">
        <v>0</v>
      </c>
      <c r="L238" s="66">
        <v>0</v>
      </c>
      <c r="M238" s="66">
        <v>0</v>
      </c>
      <c r="N238" s="66">
        <v>0</v>
      </c>
      <c r="O238" s="66">
        <v>0</v>
      </c>
      <c r="P238" s="66">
        <v>0</v>
      </c>
      <c r="Q238" s="66">
        <v>0</v>
      </c>
      <c r="R238" s="66">
        <v>0</v>
      </c>
      <c r="S238" s="66">
        <v>6</v>
      </c>
      <c r="T238" s="66">
        <v>0</v>
      </c>
      <c r="U238" s="66">
        <v>0</v>
      </c>
      <c r="V238" s="66">
        <v>6</v>
      </c>
      <c r="W238" s="67">
        <v>1</v>
      </c>
      <c r="X238"/>
    </row>
    <row r="239" spans="1:24" ht="15" x14ac:dyDescent="0.25">
      <c r="A239" s="40"/>
      <c r="B239" s="35" t="s">
        <v>173</v>
      </c>
      <c r="C239" s="35">
        <v>18619197</v>
      </c>
      <c r="D239" s="35" t="s">
        <v>214</v>
      </c>
      <c r="E239" s="35">
        <v>6086</v>
      </c>
      <c r="F239" s="35" t="s">
        <v>145</v>
      </c>
      <c r="G239" s="43">
        <v>6</v>
      </c>
      <c r="H239" s="44">
        <v>0</v>
      </c>
      <c r="I239" s="44">
        <v>0</v>
      </c>
      <c r="J239" s="44">
        <v>0</v>
      </c>
      <c r="K239" s="44">
        <v>0</v>
      </c>
      <c r="L239" s="44">
        <v>0</v>
      </c>
      <c r="M239" s="44">
        <v>0</v>
      </c>
      <c r="N239" s="44">
        <v>0</v>
      </c>
      <c r="O239" s="44">
        <v>0</v>
      </c>
      <c r="P239" s="44">
        <v>0</v>
      </c>
      <c r="Q239" s="44">
        <v>0</v>
      </c>
      <c r="R239" s="44">
        <v>0</v>
      </c>
      <c r="S239" s="44">
        <v>0</v>
      </c>
      <c r="T239" s="44">
        <v>6</v>
      </c>
      <c r="U239" s="44">
        <v>0</v>
      </c>
      <c r="V239" s="44">
        <v>6</v>
      </c>
      <c r="W239" s="39">
        <v>1</v>
      </c>
      <c r="X239"/>
    </row>
    <row r="240" spans="1:24" ht="15" x14ac:dyDescent="0.25">
      <c r="A240" s="40"/>
      <c r="B240" s="40"/>
      <c r="C240" s="40"/>
      <c r="D240" s="63" t="s">
        <v>301</v>
      </c>
      <c r="E240" s="64"/>
      <c r="F240" s="64"/>
      <c r="G240" s="65">
        <v>6</v>
      </c>
      <c r="H240" s="66">
        <v>0</v>
      </c>
      <c r="I240" s="66">
        <v>0</v>
      </c>
      <c r="J240" s="66">
        <v>0</v>
      </c>
      <c r="K240" s="66">
        <v>0</v>
      </c>
      <c r="L240" s="66">
        <v>0</v>
      </c>
      <c r="M240" s="66">
        <v>0</v>
      </c>
      <c r="N240" s="66">
        <v>0</v>
      </c>
      <c r="O240" s="66">
        <v>0</v>
      </c>
      <c r="P240" s="66">
        <v>0</v>
      </c>
      <c r="Q240" s="66">
        <v>0</v>
      </c>
      <c r="R240" s="66">
        <v>0</v>
      </c>
      <c r="S240" s="66">
        <v>0</v>
      </c>
      <c r="T240" s="66">
        <v>6</v>
      </c>
      <c r="U240" s="66">
        <v>0</v>
      </c>
      <c r="V240" s="66">
        <v>6</v>
      </c>
      <c r="W240" s="67">
        <v>1</v>
      </c>
      <c r="X240"/>
    </row>
    <row r="241" spans="1:24" ht="15" x14ac:dyDescent="0.25">
      <c r="A241" s="40"/>
      <c r="B241" s="35" t="s">
        <v>282</v>
      </c>
      <c r="C241" s="35">
        <v>18619784</v>
      </c>
      <c r="D241" s="35" t="s">
        <v>214</v>
      </c>
      <c r="E241" s="35">
        <v>6086</v>
      </c>
      <c r="F241" s="35" t="s">
        <v>145</v>
      </c>
      <c r="G241" s="43">
        <v>6</v>
      </c>
      <c r="H241" s="44">
        <v>0</v>
      </c>
      <c r="I241" s="44">
        <v>0</v>
      </c>
      <c r="J241" s="44">
        <v>0</v>
      </c>
      <c r="K241" s="44">
        <v>0</v>
      </c>
      <c r="L241" s="44">
        <v>0</v>
      </c>
      <c r="M241" s="44">
        <v>0</v>
      </c>
      <c r="N241" s="44">
        <v>0</v>
      </c>
      <c r="O241" s="44">
        <v>0</v>
      </c>
      <c r="P241" s="44">
        <v>0</v>
      </c>
      <c r="Q241" s="44">
        <v>0</v>
      </c>
      <c r="R241" s="44">
        <v>0</v>
      </c>
      <c r="S241" s="44">
        <v>0</v>
      </c>
      <c r="T241" s="44">
        <v>0</v>
      </c>
      <c r="U241" s="44">
        <v>6</v>
      </c>
      <c r="V241" s="44">
        <v>6</v>
      </c>
      <c r="W241" s="39">
        <v>1</v>
      </c>
      <c r="X241"/>
    </row>
    <row r="242" spans="1:24" ht="15" x14ac:dyDescent="0.25">
      <c r="A242" s="40"/>
      <c r="B242" s="40"/>
      <c r="C242" s="40"/>
      <c r="D242" s="63" t="s">
        <v>301</v>
      </c>
      <c r="E242" s="64"/>
      <c r="F242" s="64"/>
      <c r="G242" s="65">
        <v>6</v>
      </c>
      <c r="H242" s="66">
        <v>0</v>
      </c>
      <c r="I242" s="66">
        <v>0</v>
      </c>
      <c r="J242" s="66">
        <v>0</v>
      </c>
      <c r="K242" s="66">
        <v>0</v>
      </c>
      <c r="L242" s="66">
        <v>0</v>
      </c>
      <c r="M242" s="66">
        <v>0</v>
      </c>
      <c r="N242" s="66">
        <v>0</v>
      </c>
      <c r="O242" s="66">
        <v>0</v>
      </c>
      <c r="P242" s="66">
        <v>0</v>
      </c>
      <c r="Q242" s="66">
        <v>0</v>
      </c>
      <c r="R242" s="66">
        <v>0</v>
      </c>
      <c r="S242" s="66">
        <v>0</v>
      </c>
      <c r="T242" s="66">
        <v>0</v>
      </c>
      <c r="U242" s="66">
        <v>6</v>
      </c>
      <c r="V242" s="66">
        <v>6</v>
      </c>
      <c r="W242" s="67">
        <v>1</v>
      </c>
      <c r="X242"/>
    </row>
    <row r="243" spans="1:24" ht="15" x14ac:dyDescent="0.25">
      <c r="A243" s="40"/>
      <c r="B243" s="35" t="s">
        <v>154</v>
      </c>
      <c r="C243" s="35" t="s">
        <v>153</v>
      </c>
      <c r="D243" s="35" t="s">
        <v>221</v>
      </c>
      <c r="E243" s="35">
        <v>5452</v>
      </c>
      <c r="F243" s="35" t="s">
        <v>70</v>
      </c>
      <c r="G243" s="43">
        <v>504</v>
      </c>
      <c r="H243" s="44">
        <v>0</v>
      </c>
      <c r="I243" s="44">
        <v>0</v>
      </c>
      <c r="J243" s="44">
        <v>0</v>
      </c>
      <c r="K243" s="44">
        <v>0</v>
      </c>
      <c r="L243" s="44">
        <v>0</v>
      </c>
      <c r="M243" s="44">
        <v>151</v>
      </c>
      <c r="N243" s="44">
        <v>0</v>
      </c>
      <c r="O243" s="44">
        <v>129</v>
      </c>
      <c r="P243" s="44">
        <v>0</v>
      </c>
      <c r="Q243" s="44">
        <v>0</v>
      </c>
      <c r="R243" s="44">
        <v>0</v>
      </c>
      <c r="S243" s="44">
        <v>0</v>
      </c>
      <c r="T243" s="44">
        <v>81</v>
      </c>
      <c r="U243" s="44">
        <v>27</v>
      </c>
      <c r="V243" s="44">
        <v>388</v>
      </c>
      <c r="W243" s="39">
        <v>0.76984126984126988</v>
      </c>
      <c r="X243"/>
    </row>
    <row r="244" spans="1:24" ht="15" x14ac:dyDescent="0.25">
      <c r="A244" s="40"/>
      <c r="B244" s="40"/>
      <c r="C244" s="40"/>
      <c r="D244" s="63" t="s">
        <v>297</v>
      </c>
      <c r="E244" s="64"/>
      <c r="F244" s="64"/>
      <c r="G244" s="65">
        <v>504</v>
      </c>
      <c r="H244" s="66">
        <v>0</v>
      </c>
      <c r="I244" s="66">
        <v>0</v>
      </c>
      <c r="J244" s="66">
        <v>0</v>
      </c>
      <c r="K244" s="66">
        <v>0</v>
      </c>
      <c r="L244" s="66">
        <v>0</v>
      </c>
      <c r="M244" s="66">
        <v>151</v>
      </c>
      <c r="N244" s="66">
        <v>0</v>
      </c>
      <c r="O244" s="66">
        <v>129</v>
      </c>
      <c r="P244" s="66">
        <v>0</v>
      </c>
      <c r="Q244" s="66">
        <v>0</v>
      </c>
      <c r="R244" s="66">
        <v>0</v>
      </c>
      <c r="S244" s="66">
        <v>0</v>
      </c>
      <c r="T244" s="66">
        <v>81</v>
      </c>
      <c r="U244" s="66">
        <v>27</v>
      </c>
      <c r="V244" s="66">
        <v>388</v>
      </c>
      <c r="W244" s="67">
        <v>0.76984126984126988</v>
      </c>
      <c r="X244"/>
    </row>
    <row r="245" spans="1:24" ht="15" x14ac:dyDescent="0.25">
      <c r="A245" s="40"/>
      <c r="B245" s="35" t="s">
        <v>284</v>
      </c>
      <c r="C245" s="35" t="s">
        <v>283</v>
      </c>
      <c r="D245" s="35" t="s">
        <v>263</v>
      </c>
      <c r="E245" s="35">
        <v>5653</v>
      </c>
      <c r="F245" s="35" t="s">
        <v>146</v>
      </c>
      <c r="G245" s="43">
        <v>9</v>
      </c>
      <c r="H245" s="44">
        <v>0</v>
      </c>
      <c r="I245" s="44">
        <v>0</v>
      </c>
      <c r="J245" s="44">
        <v>0</v>
      </c>
      <c r="K245" s="44">
        <v>0</v>
      </c>
      <c r="L245" s="44">
        <v>0</v>
      </c>
      <c r="M245" s="44">
        <v>0</v>
      </c>
      <c r="N245" s="44">
        <v>0</v>
      </c>
      <c r="O245" s="44">
        <v>0</v>
      </c>
      <c r="P245" s="44">
        <v>0</v>
      </c>
      <c r="Q245" s="44">
        <v>0</v>
      </c>
      <c r="R245" s="44">
        <v>0</v>
      </c>
      <c r="S245" s="44">
        <v>0</v>
      </c>
      <c r="T245" s="44">
        <v>9</v>
      </c>
      <c r="U245" s="44">
        <v>0</v>
      </c>
      <c r="V245" s="44">
        <v>9</v>
      </c>
      <c r="W245" s="39">
        <v>1</v>
      </c>
      <c r="X245"/>
    </row>
    <row r="246" spans="1:24" ht="15" x14ac:dyDescent="0.25">
      <c r="A246" s="40"/>
      <c r="B246" s="40"/>
      <c r="C246" s="40"/>
      <c r="D246" s="63" t="s">
        <v>310</v>
      </c>
      <c r="E246" s="64"/>
      <c r="F246" s="64"/>
      <c r="G246" s="65">
        <v>9</v>
      </c>
      <c r="H246" s="66">
        <v>0</v>
      </c>
      <c r="I246" s="66">
        <v>0</v>
      </c>
      <c r="J246" s="66">
        <v>0</v>
      </c>
      <c r="K246" s="66">
        <v>0</v>
      </c>
      <c r="L246" s="66">
        <v>0</v>
      </c>
      <c r="M246" s="66">
        <v>0</v>
      </c>
      <c r="N246" s="66">
        <v>0</v>
      </c>
      <c r="O246" s="66">
        <v>0</v>
      </c>
      <c r="P246" s="66">
        <v>0</v>
      </c>
      <c r="Q246" s="66">
        <v>0</v>
      </c>
      <c r="R246" s="66">
        <v>0</v>
      </c>
      <c r="S246" s="66">
        <v>0</v>
      </c>
      <c r="T246" s="66">
        <v>9</v>
      </c>
      <c r="U246" s="66">
        <v>0</v>
      </c>
      <c r="V246" s="66">
        <v>9</v>
      </c>
      <c r="W246" s="67">
        <v>1</v>
      </c>
      <c r="X246"/>
    </row>
    <row r="247" spans="1:24" ht="15" x14ac:dyDescent="0.25">
      <c r="A247" s="40"/>
      <c r="B247" s="35" t="s">
        <v>175</v>
      </c>
      <c r="C247" s="35" t="s">
        <v>174</v>
      </c>
      <c r="D247" s="35" t="s">
        <v>191</v>
      </c>
      <c r="E247" s="35">
        <v>5624</v>
      </c>
      <c r="F247" s="35" t="s">
        <v>125</v>
      </c>
      <c r="G247" s="43">
        <v>2</v>
      </c>
      <c r="H247" s="44">
        <v>0</v>
      </c>
      <c r="I247" s="44">
        <v>0</v>
      </c>
      <c r="J247" s="44">
        <v>0</v>
      </c>
      <c r="K247" s="44">
        <v>0</v>
      </c>
      <c r="L247" s="44">
        <v>0</v>
      </c>
      <c r="M247" s="44">
        <v>0</v>
      </c>
      <c r="N247" s="44">
        <v>0</v>
      </c>
      <c r="O247" s="44">
        <v>0</v>
      </c>
      <c r="P247" s="44">
        <v>0</v>
      </c>
      <c r="Q247" s="44">
        <v>0</v>
      </c>
      <c r="R247" s="44">
        <v>0</v>
      </c>
      <c r="S247" s="44">
        <v>2</v>
      </c>
      <c r="T247" s="44">
        <v>0</v>
      </c>
      <c r="U247" s="44">
        <v>0</v>
      </c>
      <c r="V247" s="44">
        <v>2</v>
      </c>
      <c r="W247" s="39">
        <v>1</v>
      </c>
      <c r="X247"/>
    </row>
    <row r="248" spans="1:24" ht="15" x14ac:dyDescent="0.25">
      <c r="A248" s="40"/>
      <c r="B248" s="40"/>
      <c r="C248" s="40"/>
      <c r="D248" s="63" t="s">
        <v>298</v>
      </c>
      <c r="E248" s="64"/>
      <c r="F248" s="64"/>
      <c r="G248" s="65">
        <v>2</v>
      </c>
      <c r="H248" s="66">
        <v>0</v>
      </c>
      <c r="I248" s="66">
        <v>0</v>
      </c>
      <c r="J248" s="66">
        <v>0</v>
      </c>
      <c r="K248" s="66">
        <v>0</v>
      </c>
      <c r="L248" s="66">
        <v>0</v>
      </c>
      <c r="M248" s="66">
        <v>0</v>
      </c>
      <c r="N248" s="66">
        <v>0</v>
      </c>
      <c r="O248" s="66">
        <v>0</v>
      </c>
      <c r="P248" s="66">
        <v>0</v>
      </c>
      <c r="Q248" s="66">
        <v>0</v>
      </c>
      <c r="R248" s="66">
        <v>0</v>
      </c>
      <c r="S248" s="66">
        <v>2</v>
      </c>
      <c r="T248" s="66">
        <v>0</v>
      </c>
      <c r="U248" s="66">
        <v>0</v>
      </c>
      <c r="V248" s="66">
        <v>2</v>
      </c>
      <c r="W248" s="67">
        <v>1</v>
      </c>
      <c r="X248"/>
    </row>
    <row r="249" spans="1:24" ht="15" x14ac:dyDescent="0.25">
      <c r="A249" s="40"/>
      <c r="B249" s="35" t="s">
        <v>285</v>
      </c>
      <c r="C249" s="35" t="s">
        <v>182</v>
      </c>
      <c r="D249" s="35" t="s">
        <v>191</v>
      </c>
      <c r="E249" s="35">
        <v>5624</v>
      </c>
      <c r="F249" s="35" t="s">
        <v>125</v>
      </c>
      <c r="G249" s="43">
        <v>2</v>
      </c>
      <c r="H249" s="44">
        <v>0</v>
      </c>
      <c r="I249" s="44">
        <v>0</v>
      </c>
      <c r="J249" s="44">
        <v>0</v>
      </c>
      <c r="K249" s="44">
        <v>0</v>
      </c>
      <c r="L249" s="44">
        <v>0</v>
      </c>
      <c r="M249" s="44">
        <v>0</v>
      </c>
      <c r="N249" s="44">
        <v>0</v>
      </c>
      <c r="O249" s="44">
        <v>0</v>
      </c>
      <c r="P249" s="44">
        <v>0</v>
      </c>
      <c r="Q249" s="44">
        <v>0</v>
      </c>
      <c r="R249" s="44">
        <v>0</v>
      </c>
      <c r="S249" s="44">
        <v>2</v>
      </c>
      <c r="T249" s="44">
        <v>0</v>
      </c>
      <c r="U249" s="44">
        <v>0</v>
      </c>
      <c r="V249" s="44">
        <v>2</v>
      </c>
      <c r="W249" s="39">
        <v>1</v>
      </c>
      <c r="X249"/>
    </row>
    <row r="250" spans="1:24" ht="15" x14ac:dyDescent="0.25">
      <c r="A250" s="40"/>
      <c r="B250" s="40"/>
      <c r="C250" s="40"/>
      <c r="D250" s="63" t="s">
        <v>298</v>
      </c>
      <c r="E250" s="64"/>
      <c r="F250" s="64"/>
      <c r="G250" s="65">
        <v>2</v>
      </c>
      <c r="H250" s="66">
        <v>0</v>
      </c>
      <c r="I250" s="66">
        <v>0</v>
      </c>
      <c r="J250" s="66">
        <v>0</v>
      </c>
      <c r="K250" s="66">
        <v>0</v>
      </c>
      <c r="L250" s="66">
        <v>0</v>
      </c>
      <c r="M250" s="66">
        <v>0</v>
      </c>
      <c r="N250" s="66">
        <v>0</v>
      </c>
      <c r="O250" s="66">
        <v>0</v>
      </c>
      <c r="P250" s="66">
        <v>0</v>
      </c>
      <c r="Q250" s="66">
        <v>0</v>
      </c>
      <c r="R250" s="66">
        <v>0</v>
      </c>
      <c r="S250" s="66">
        <v>2</v>
      </c>
      <c r="T250" s="66">
        <v>0</v>
      </c>
      <c r="U250" s="66">
        <v>0</v>
      </c>
      <c r="V250" s="66">
        <v>2</v>
      </c>
      <c r="W250" s="67">
        <v>1</v>
      </c>
      <c r="X250"/>
    </row>
    <row r="251" spans="1:24" ht="15" x14ac:dyDescent="0.25">
      <c r="A251" s="40"/>
      <c r="B251" s="35" t="s">
        <v>286</v>
      </c>
      <c r="C251" s="35" t="s">
        <v>174</v>
      </c>
      <c r="D251" s="35" t="s">
        <v>263</v>
      </c>
      <c r="E251" s="35">
        <v>5653</v>
      </c>
      <c r="F251" s="35" t="s">
        <v>125</v>
      </c>
      <c r="G251" s="43">
        <v>25</v>
      </c>
      <c r="H251" s="44">
        <v>0</v>
      </c>
      <c r="I251" s="44">
        <v>0</v>
      </c>
      <c r="J251" s="44">
        <v>0</v>
      </c>
      <c r="K251" s="44">
        <v>0</v>
      </c>
      <c r="L251" s="44">
        <v>0</v>
      </c>
      <c r="M251" s="44">
        <v>0</v>
      </c>
      <c r="N251" s="44">
        <v>0</v>
      </c>
      <c r="O251" s="44">
        <v>0</v>
      </c>
      <c r="P251" s="44">
        <v>0</v>
      </c>
      <c r="Q251" s="44">
        <v>0</v>
      </c>
      <c r="R251" s="44">
        <v>0</v>
      </c>
      <c r="S251" s="44">
        <v>25</v>
      </c>
      <c r="T251" s="44">
        <v>0</v>
      </c>
      <c r="U251" s="44">
        <v>0</v>
      </c>
      <c r="V251" s="44">
        <v>25</v>
      </c>
      <c r="W251" s="39">
        <v>1</v>
      </c>
      <c r="X251"/>
    </row>
    <row r="252" spans="1:24" ht="15" x14ac:dyDescent="0.25">
      <c r="A252" s="40"/>
      <c r="B252" s="40"/>
      <c r="C252" s="40"/>
      <c r="D252" s="63" t="s">
        <v>310</v>
      </c>
      <c r="E252" s="64"/>
      <c r="F252" s="64"/>
      <c r="G252" s="65">
        <v>25</v>
      </c>
      <c r="H252" s="66">
        <v>0</v>
      </c>
      <c r="I252" s="66">
        <v>0</v>
      </c>
      <c r="J252" s="66">
        <v>0</v>
      </c>
      <c r="K252" s="66">
        <v>0</v>
      </c>
      <c r="L252" s="66">
        <v>0</v>
      </c>
      <c r="M252" s="66">
        <v>0</v>
      </c>
      <c r="N252" s="66">
        <v>0</v>
      </c>
      <c r="O252" s="66">
        <v>0</v>
      </c>
      <c r="P252" s="66">
        <v>0</v>
      </c>
      <c r="Q252" s="66">
        <v>0</v>
      </c>
      <c r="R252" s="66">
        <v>0</v>
      </c>
      <c r="S252" s="66">
        <v>25</v>
      </c>
      <c r="T252" s="66">
        <v>0</v>
      </c>
      <c r="U252" s="66">
        <v>0</v>
      </c>
      <c r="V252" s="66">
        <v>25</v>
      </c>
      <c r="W252" s="67">
        <v>1</v>
      </c>
      <c r="X252"/>
    </row>
    <row r="253" spans="1:24" ht="15" x14ac:dyDescent="0.25">
      <c r="A253" s="47" t="s">
        <v>75</v>
      </c>
      <c r="B253" s="57"/>
      <c r="C253" s="57"/>
      <c r="D253" s="57"/>
      <c r="E253" s="57"/>
      <c r="F253" s="57"/>
      <c r="G253" s="58">
        <v>582</v>
      </c>
      <c r="H253" s="59">
        <v>0</v>
      </c>
      <c r="I253" s="59">
        <v>0</v>
      </c>
      <c r="J253" s="59">
        <v>0</v>
      </c>
      <c r="K253" s="59">
        <v>0</v>
      </c>
      <c r="L253" s="59">
        <v>0</v>
      </c>
      <c r="M253" s="59">
        <v>153</v>
      </c>
      <c r="N253" s="59">
        <v>2</v>
      </c>
      <c r="O253" s="59">
        <v>129</v>
      </c>
      <c r="P253" s="59">
        <v>0</v>
      </c>
      <c r="Q253" s="59">
        <v>6</v>
      </c>
      <c r="R253" s="59">
        <v>0</v>
      </c>
      <c r="S253" s="59">
        <v>35</v>
      </c>
      <c r="T253" s="59">
        <v>96</v>
      </c>
      <c r="U253" s="59">
        <v>45</v>
      </c>
      <c r="V253" s="59">
        <v>466</v>
      </c>
      <c r="W253" s="60">
        <v>0.80068728522336774</v>
      </c>
      <c r="X253"/>
    </row>
    <row r="254" spans="1:24" ht="15" x14ac:dyDescent="0.25">
      <c r="A254" s="35" t="s">
        <v>100</v>
      </c>
      <c r="B254" s="35" t="s">
        <v>168</v>
      </c>
      <c r="C254" s="35" t="s">
        <v>167</v>
      </c>
      <c r="D254" s="35" t="s">
        <v>187</v>
      </c>
      <c r="E254" s="35">
        <v>5627</v>
      </c>
      <c r="F254" s="35" t="s">
        <v>100</v>
      </c>
      <c r="G254" s="43">
        <v>556</v>
      </c>
      <c r="H254" s="44">
        <v>0</v>
      </c>
      <c r="I254" s="44">
        <v>0</v>
      </c>
      <c r="J254" s="44">
        <v>0</v>
      </c>
      <c r="K254" s="44">
        <v>0</v>
      </c>
      <c r="L254" s="44">
        <v>155</v>
      </c>
      <c r="M254" s="44">
        <v>75</v>
      </c>
      <c r="N254" s="44">
        <v>198</v>
      </c>
      <c r="O254" s="44">
        <v>0</v>
      </c>
      <c r="P254" s="44">
        <v>0</v>
      </c>
      <c r="Q254" s="44">
        <v>0</v>
      </c>
      <c r="R254" s="44">
        <v>128</v>
      </c>
      <c r="S254" s="44">
        <v>0</v>
      </c>
      <c r="T254" s="44">
        <v>0</v>
      </c>
      <c r="U254" s="44">
        <v>0</v>
      </c>
      <c r="V254" s="44">
        <v>556</v>
      </c>
      <c r="W254" s="39">
        <v>1</v>
      </c>
      <c r="X254"/>
    </row>
    <row r="255" spans="1:24" ht="15" x14ac:dyDescent="0.25">
      <c r="A255" s="40"/>
      <c r="B255" s="40"/>
      <c r="C255" s="40"/>
      <c r="D255" s="63" t="s">
        <v>293</v>
      </c>
      <c r="E255" s="64"/>
      <c r="F255" s="64"/>
      <c r="G255" s="65">
        <v>556</v>
      </c>
      <c r="H255" s="66">
        <v>0</v>
      </c>
      <c r="I255" s="66">
        <v>0</v>
      </c>
      <c r="J255" s="66">
        <v>0</v>
      </c>
      <c r="K255" s="66">
        <v>0</v>
      </c>
      <c r="L255" s="66">
        <v>155</v>
      </c>
      <c r="M255" s="66">
        <v>75</v>
      </c>
      <c r="N255" s="66">
        <v>198</v>
      </c>
      <c r="O255" s="66">
        <v>0</v>
      </c>
      <c r="P255" s="66">
        <v>0</v>
      </c>
      <c r="Q255" s="66">
        <v>0</v>
      </c>
      <c r="R255" s="66">
        <v>128</v>
      </c>
      <c r="S255" s="66">
        <v>0</v>
      </c>
      <c r="T255" s="66">
        <v>0</v>
      </c>
      <c r="U255" s="66">
        <v>0</v>
      </c>
      <c r="V255" s="66">
        <v>556</v>
      </c>
      <c r="W255" s="67">
        <v>1</v>
      </c>
      <c r="X255"/>
    </row>
    <row r="256" spans="1:24" ht="15" x14ac:dyDescent="0.25">
      <c r="A256" s="40"/>
      <c r="B256" s="40"/>
      <c r="C256" s="40"/>
      <c r="D256" s="35" t="s">
        <v>189</v>
      </c>
      <c r="E256" s="35">
        <v>5835</v>
      </c>
      <c r="F256" s="35" t="s">
        <v>100</v>
      </c>
      <c r="G256" s="43">
        <v>93</v>
      </c>
      <c r="H256" s="44">
        <v>0</v>
      </c>
      <c r="I256" s="44">
        <v>0</v>
      </c>
      <c r="J256" s="44">
        <v>0</v>
      </c>
      <c r="K256" s="44">
        <v>0</v>
      </c>
      <c r="L256" s="44">
        <v>20</v>
      </c>
      <c r="M256" s="44">
        <v>5</v>
      </c>
      <c r="N256" s="44">
        <v>16</v>
      </c>
      <c r="O256" s="44">
        <v>5</v>
      </c>
      <c r="P256" s="44">
        <v>0</v>
      </c>
      <c r="Q256" s="44">
        <v>0</v>
      </c>
      <c r="R256" s="44">
        <v>10</v>
      </c>
      <c r="S256" s="44">
        <v>0</v>
      </c>
      <c r="T256" s="44">
        <v>28</v>
      </c>
      <c r="U256" s="44">
        <v>0</v>
      </c>
      <c r="V256" s="44">
        <v>84</v>
      </c>
      <c r="W256" s="39">
        <v>0.90322580645161288</v>
      </c>
      <c r="X256"/>
    </row>
    <row r="257" spans="1:24" ht="15" x14ac:dyDescent="0.25">
      <c r="A257" s="40"/>
      <c r="B257" s="40"/>
      <c r="C257" s="40"/>
      <c r="D257" s="63" t="s">
        <v>299</v>
      </c>
      <c r="E257" s="64"/>
      <c r="F257" s="64"/>
      <c r="G257" s="65">
        <v>93</v>
      </c>
      <c r="H257" s="66">
        <v>0</v>
      </c>
      <c r="I257" s="66">
        <v>0</v>
      </c>
      <c r="J257" s="66">
        <v>0</v>
      </c>
      <c r="K257" s="66">
        <v>0</v>
      </c>
      <c r="L257" s="66">
        <v>20</v>
      </c>
      <c r="M257" s="66">
        <v>5</v>
      </c>
      <c r="N257" s="66">
        <v>16</v>
      </c>
      <c r="O257" s="66">
        <v>5</v>
      </c>
      <c r="P257" s="66">
        <v>0</v>
      </c>
      <c r="Q257" s="66">
        <v>0</v>
      </c>
      <c r="R257" s="66">
        <v>10</v>
      </c>
      <c r="S257" s="66">
        <v>0</v>
      </c>
      <c r="T257" s="66">
        <v>28</v>
      </c>
      <c r="U257" s="66">
        <v>0</v>
      </c>
      <c r="V257" s="66">
        <v>84</v>
      </c>
      <c r="W257" s="67">
        <v>0.90322580645161288</v>
      </c>
      <c r="X257"/>
    </row>
    <row r="258" spans="1:24" ht="15" x14ac:dyDescent="0.25">
      <c r="A258" s="40"/>
      <c r="B258" s="40"/>
      <c r="C258" s="40"/>
      <c r="D258" s="35" t="s">
        <v>191</v>
      </c>
      <c r="E258" s="35">
        <v>5624</v>
      </c>
      <c r="F258" s="35" t="s">
        <v>100</v>
      </c>
      <c r="G258" s="43">
        <v>33</v>
      </c>
      <c r="H258" s="44">
        <v>0</v>
      </c>
      <c r="I258" s="44">
        <v>0</v>
      </c>
      <c r="J258" s="44">
        <v>0</v>
      </c>
      <c r="K258" s="44">
        <v>0</v>
      </c>
      <c r="L258" s="44">
        <v>4</v>
      </c>
      <c r="M258" s="44">
        <v>0</v>
      </c>
      <c r="N258" s="44">
        <v>0</v>
      </c>
      <c r="O258" s="44">
        <v>0</v>
      </c>
      <c r="P258" s="44">
        <v>0</v>
      </c>
      <c r="Q258" s="44">
        <v>0</v>
      </c>
      <c r="R258" s="44">
        <v>4</v>
      </c>
      <c r="S258" s="44">
        <v>0</v>
      </c>
      <c r="T258" s="44">
        <v>0</v>
      </c>
      <c r="U258" s="44">
        <v>0</v>
      </c>
      <c r="V258" s="44">
        <v>8</v>
      </c>
      <c r="W258" s="39">
        <v>0.24242424242424243</v>
      </c>
      <c r="X258"/>
    </row>
    <row r="259" spans="1:24" ht="15" x14ac:dyDescent="0.25">
      <c r="A259" s="40"/>
      <c r="B259" s="40"/>
      <c r="C259" s="40"/>
      <c r="D259" s="63" t="s">
        <v>298</v>
      </c>
      <c r="E259" s="64"/>
      <c r="F259" s="64"/>
      <c r="G259" s="65">
        <v>33</v>
      </c>
      <c r="H259" s="66">
        <v>0</v>
      </c>
      <c r="I259" s="66">
        <v>0</v>
      </c>
      <c r="J259" s="66">
        <v>0</v>
      </c>
      <c r="K259" s="66">
        <v>0</v>
      </c>
      <c r="L259" s="66">
        <v>4</v>
      </c>
      <c r="M259" s="66">
        <v>0</v>
      </c>
      <c r="N259" s="66">
        <v>0</v>
      </c>
      <c r="O259" s="66">
        <v>0</v>
      </c>
      <c r="P259" s="66">
        <v>0</v>
      </c>
      <c r="Q259" s="66">
        <v>0</v>
      </c>
      <c r="R259" s="66">
        <v>4</v>
      </c>
      <c r="S259" s="66">
        <v>0</v>
      </c>
      <c r="T259" s="66">
        <v>0</v>
      </c>
      <c r="U259" s="66">
        <v>0</v>
      </c>
      <c r="V259" s="66">
        <v>8</v>
      </c>
      <c r="W259" s="67">
        <v>0.24242424242424243</v>
      </c>
      <c r="X259"/>
    </row>
    <row r="260" spans="1:24" ht="15" x14ac:dyDescent="0.25">
      <c r="A260" s="40"/>
      <c r="B260" s="40"/>
      <c r="C260" s="40"/>
      <c r="D260" s="35" t="s">
        <v>194</v>
      </c>
      <c r="E260" s="35">
        <v>5613</v>
      </c>
      <c r="F260" s="35" t="s">
        <v>100</v>
      </c>
      <c r="G260" s="43">
        <v>780</v>
      </c>
      <c r="H260" s="44">
        <v>0</v>
      </c>
      <c r="I260" s="44">
        <v>0</v>
      </c>
      <c r="J260" s="44">
        <v>0</v>
      </c>
      <c r="K260" s="44">
        <v>0</v>
      </c>
      <c r="L260" s="44">
        <v>160</v>
      </c>
      <c r="M260" s="44">
        <v>36</v>
      </c>
      <c r="N260" s="44">
        <v>90</v>
      </c>
      <c r="O260" s="44">
        <v>115</v>
      </c>
      <c r="P260" s="44">
        <v>0</v>
      </c>
      <c r="Q260" s="44">
        <v>168</v>
      </c>
      <c r="R260" s="44">
        <v>160</v>
      </c>
      <c r="S260" s="44">
        <v>0</v>
      </c>
      <c r="T260" s="44">
        <v>0</v>
      </c>
      <c r="U260" s="44">
        <v>0</v>
      </c>
      <c r="V260" s="44">
        <v>729</v>
      </c>
      <c r="W260" s="39">
        <v>0.93461538461538463</v>
      </c>
      <c r="X260"/>
    </row>
    <row r="261" spans="1:24" ht="15" x14ac:dyDescent="0.25">
      <c r="A261" s="40"/>
      <c r="B261" s="40"/>
      <c r="C261" s="40"/>
      <c r="D261" s="63" t="s">
        <v>291</v>
      </c>
      <c r="E261" s="64"/>
      <c r="F261" s="64"/>
      <c r="G261" s="65">
        <v>780</v>
      </c>
      <c r="H261" s="66">
        <v>0</v>
      </c>
      <c r="I261" s="66">
        <v>0</v>
      </c>
      <c r="J261" s="66">
        <v>0</v>
      </c>
      <c r="K261" s="66">
        <v>0</v>
      </c>
      <c r="L261" s="66">
        <v>160</v>
      </c>
      <c r="M261" s="66">
        <v>36</v>
      </c>
      <c r="N261" s="66">
        <v>90</v>
      </c>
      <c r="O261" s="66">
        <v>115</v>
      </c>
      <c r="P261" s="66">
        <v>0</v>
      </c>
      <c r="Q261" s="66">
        <v>168</v>
      </c>
      <c r="R261" s="66">
        <v>160</v>
      </c>
      <c r="S261" s="66">
        <v>0</v>
      </c>
      <c r="T261" s="66">
        <v>0</v>
      </c>
      <c r="U261" s="66">
        <v>0</v>
      </c>
      <c r="V261" s="66">
        <v>729</v>
      </c>
      <c r="W261" s="67">
        <v>0.93461538461538463</v>
      </c>
      <c r="X261"/>
    </row>
    <row r="262" spans="1:24" ht="15" x14ac:dyDescent="0.25">
      <c r="A262" s="40"/>
      <c r="B262" s="40"/>
      <c r="C262" s="40"/>
      <c r="D262" s="35" t="s">
        <v>200</v>
      </c>
      <c r="E262" s="35">
        <v>6013</v>
      </c>
      <c r="F262" s="35" t="s">
        <v>100</v>
      </c>
      <c r="G262" s="43">
        <v>129</v>
      </c>
      <c r="H262" s="44">
        <v>0</v>
      </c>
      <c r="I262" s="44">
        <v>0</v>
      </c>
      <c r="J262" s="44">
        <v>0</v>
      </c>
      <c r="K262" s="44">
        <v>0</v>
      </c>
      <c r="L262" s="44">
        <v>10</v>
      </c>
      <c r="M262" s="44">
        <v>13</v>
      </c>
      <c r="N262" s="44">
        <v>15</v>
      </c>
      <c r="O262" s="44">
        <v>4</v>
      </c>
      <c r="P262" s="44">
        <v>0</v>
      </c>
      <c r="Q262" s="44">
        <v>18</v>
      </c>
      <c r="R262" s="44">
        <v>20</v>
      </c>
      <c r="S262" s="44">
        <v>0</v>
      </c>
      <c r="T262" s="44">
        <v>37</v>
      </c>
      <c r="U262" s="44">
        <v>0</v>
      </c>
      <c r="V262" s="44">
        <v>117</v>
      </c>
      <c r="W262" s="39">
        <v>0.90697674418604646</v>
      </c>
      <c r="X262"/>
    </row>
    <row r="263" spans="1:24" ht="15" x14ac:dyDescent="0.25">
      <c r="A263" s="40"/>
      <c r="B263" s="40"/>
      <c r="C263" s="40"/>
      <c r="D263" s="63" t="s">
        <v>304</v>
      </c>
      <c r="E263" s="64"/>
      <c r="F263" s="64"/>
      <c r="G263" s="65">
        <v>129</v>
      </c>
      <c r="H263" s="66">
        <v>0</v>
      </c>
      <c r="I263" s="66">
        <v>0</v>
      </c>
      <c r="J263" s="66">
        <v>0</v>
      </c>
      <c r="K263" s="66">
        <v>0</v>
      </c>
      <c r="L263" s="66">
        <v>10</v>
      </c>
      <c r="M263" s="66">
        <v>13</v>
      </c>
      <c r="N263" s="66">
        <v>15</v>
      </c>
      <c r="O263" s="66">
        <v>4</v>
      </c>
      <c r="P263" s="66">
        <v>0</v>
      </c>
      <c r="Q263" s="66">
        <v>18</v>
      </c>
      <c r="R263" s="66">
        <v>20</v>
      </c>
      <c r="S263" s="66">
        <v>0</v>
      </c>
      <c r="T263" s="66">
        <v>37</v>
      </c>
      <c r="U263" s="66">
        <v>0</v>
      </c>
      <c r="V263" s="66">
        <v>117</v>
      </c>
      <c r="W263" s="67">
        <v>0.90697674418604646</v>
      </c>
      <c r="X263"/>
    </row>
    <row r="264" spans="1:24" ht="15" x14ac:dyDescent="0.25">
      <c r="A264" s="40"/>
      <c r="B264" s="40"/>
      <c r="C264" s="40"/>
      <c r="D264" s="35" t="s">
        <v>212</v>
      </c>
      <c r="E264" s="35">
        <v>5632</v>
      </c>
      <c r="F264" s="35" t="s">
        <v>100</v>
      </c>
      <c r="G264" s="43">
        <v>79</v>
      </c>
      <c r="H264" s="44">
        <v>0</v>
      </c>
      <c r="I264" s="44">
        <v>0</v>
      </c>
      <c r="J264" s="44">
        <v>0</v>
      </c>
      <c r="K264" s="44">
        <v>0</v>
      </c>
      <c r="L264" s="44">
        <v>10</v>
      </c>
      <c r="M264" s="44">
        <v>10</v>
      </c>
      <c r="N264" s="44">
        <v>7</v>
      </c>
      <c r="O264" s="44">
        <v>5</v>
      </c>
      <c r="P264" s="44">
        <v>0</v>
      </c>
      <c r="Q264" s="44">
        <v>5</v>
      </c>
      <c r="R264" s="44">
        <v>20</v>
      </c>
      <c r="S264" s="44">
        <v>0</v>
      </c>
      <c r="T264" s="44">
        <v>22</v>
      </c>
      <c r="U264" s="44">
        <v>0</v>
      </c>
      <c r="V264" s="44">
        <v>79</v>
      </c>
      <c r="W264" s="39">
        <v>1</v>
      </c>
      <c r="X264"/>
    </row>
    <row r="265" spans="1:24" ht="15" x14ac:dyDescent="0.25">
      <c r="A265" s="40"/>
      <c r="B265" s="40"/>
      <c r="C265" s="40"/>
      <c r="D265" s="63" t="s">
        <v>307</v>
      </c>
      <c r="E265" s="64"/>
      <c r="F265" s="64"/>
      <c r="G265" s="65">
        <v>79</v>
      </c>
      <c r="H265" s="66">
        <v>0</v>
      </c>
      <c r="I265" s="66">
        <v>0</v>
      </c>
      <c r="J265" s="66">
        <v>0</v>
      </c>
      <c r="K265" s="66">
        <v>0</v>
      </c>
      <c r="L265" s="66">
        <v>10</v>
      </c>
      <c r="M265" s="66">
        <v>10</v>
      </c>
      <c r="N265" s="66">
        <v>7</v>
      </c>
      <c r="O265" s="66">
        <v>5</v>
      </c>
      <c r="P265" s="66">
        <v>0</v>
      </c>
      <c r="Q265" s="66">
        <v>5</v>
      </c>
      <c r="R265" s="66">
        <v>20</v>
      </c>
      <c r="S265" s="66">
        <v>0</v>
      </c>
      <c r="T265" s="66">
        <v>22</v>
      </c>
      <c r="U265" s="66">
        <v>0</v>
      </c>
      <c r="V265" s="66">
        <v>79</v>
      </c>
      <c r="W265" s="67">
        <v>1</v>
      </c>
      <c r="X265"/>
    </row>
    <row r="266" spans="1:24" ht="15" x14ac:dyDescent="0.25">
      <c r="A266" s="40"/>
      <c r="B266" s="40"/>
      <c r="C266" s="40"/>
      <c r="D266" s="35" t="s">
        <v>219</v>
      </c>
      <c r="E266" s="35">
        <v>5628</v>
      </c>
      <c r="F266" s="35" t="s">
        <v>100</v>
      </c>
      <c r="G266" s="43">
        <v>675</v>
      </c>
      <c r="H266" s="44">
        <v>0</v>
      </c>
      <c r="I266" s="44">
        <v>0</v>
      </c>
      <c r="J266" s="44">
        <v>0</v>
      </c>
      <c r="K266" s="44">
        <v>0</v>
      </c>
      <c r="L266" s="44">
        <v>170</v>
      </c>
      <c r="M266" s="44">
        <v>0</v>
      </c>
      <c r="N266" s="44">
        <v>73</v>
      </c>
      <c r="O266" s="44">
        <v>100</v>
      </c>
      <c r="P266" s="44">
        <v>0</v>
      </c>
      <c r="Q266" s="44">
        <v>0</v>
      </c>
      <c r="R266" s="44">
        <v>130</v>
      </c>
      <c r="S266" s="44">
        <v>0</v>
      </c>
      <c r="T266" s="44">
        <v>159</v>
      </c>
      <c r="U266" s="44">
        <v>0</v>
      </c>
      <c r="V266" s="44">
        <v>632</v>
      </c>
      <c r="W266" s="39">
        <v>0.93629629629629629</v>
      </c>
      <c r="X266"/>
    </row>
    <row r="267" spans="1:24" ht="15" x14ac:dyDescent="0.25">
      <c r="A267" s="40"/>
      <c r="B267" s="40"/>
      <c r="C267" s="40"/>
      <c r="D267" s="63" t="s">
        <v>294</v>
      </c>
      <c r="E267" s="64"/>
      <c r="F267" s="64"/>
      <c r="G267" s="65">
        <v>675</v>
      </c>
      <c r="H267" s="66">
        <v>0</v>
      </c>
      <c r="I267" s="66">
        <v>0</v>
      </c>
      <c r="J267" s="66">
        <v>0</v>
      </c>
      <c r="K267" s="66">
        <v>0</v>
      </c>
      <c r="L267" s="66">
        <v>170</v>
      </c>
      <c r="M267" s="66">
        <v>0</v>
      </c>
      <c r="N267" s="66">
        <v>73</v>
      </c>
      <c r="O267" s="66">
        <v>100</v>
      </c>
      <c r="P267" s="66">
        <v>0</v>
      </c>
      <c r="Q267" s="66">
        <v>0</v>
      </c>
      <c r="R267" s="66">
        <v>130</v>
      </c>
      <c r="S267" s="66">
        <v>0</v>
      </c>
      <c r="T267" s="66">
        <v>159</v>
      </c>
      <c r="U267" s="66">
        <v>0</v>
      </c>
      <c r="V267" s="66">
        <v>632</v>
      </c>
      <c r="W267" s="67">
        <v>0.93629629629629629</v>
      </c>
      <c r="X267"/>
    </row>
    <row r="268" spans="1:24" ht="15" x14ac:dyDescent="0.25">
      <c r="A268" s="40"/>
      <c r="B268" s="40"/>
      <c r="C268" s="40"/>
      <c r="D268" s="35" t="s">
        <v>220</v>
      </c>
      <c r="E268" s="35">
        <v>6089</v>
      </c>
      <c r="F268" s="35" t="s">
        <v>100</v>
      </c>
      <c r="G268" s="43">
        <v>12</v>
      </c>
      <c r="H268" s="44">
        <v>0</v>
      </c>
      <c r="I268" s="44">
        <v>0</v>
      </c>
      <c r="J268" s="44">
        <v>0</v>
      </c>
      <c r="K268" s="44">
        <v>0</v>
      </c>
      <c r="L268" s="44">
        <v>5</v>
      </c>
      <c r="M268" s="44">
        <v>6</v>
      </c>
      <c r="N268" s="44">
        <v>1</v>
      </c>
      <c r="O268" s="44">
        <v>0</v>
      </c>
      <c r="P268" s="44">
        <v>0</v>
      </c>
      <c r="Q268" s="44">
        <v>0</v>
      </c>
      <c r="R268" s="44">
        <v>0</v>
      </c>
      <c r="S268" s="44">
        <v>0</v>
      </c>
      <c r="T268" s="44">
        <v>0</v>
      </c>
      <c r="U268" s="44">
        <v>0</v>
      </c>
      <c r="V268" s="44">
        <v>12</v>
      </c>
      <c r="W268" s="39">
        <v>1</v>
      </c>
      <c r="X268"/>
    </row>
    <row r="269" spans="1:24" ht="15" x14ac:dyDescent="0.25">
      <c r="A269" s="40"/>
      <c r="B269" s="40"/>
      <c r="C269" s="40"/>
      <c r="D269" s="63" t="s">
        <v>295</v>
      </c>
      <c r="E269" s="64"/>
      <c r="F269" s="64"/>
      <c r="G269" s="65">
        <v>12</v>
      </c>
      <c r="H269" s="66">
        <v>0</v>
      </c>
      <c r="I269" s="66">
        <v>0</v>
      </c>
      <c r="J269" s="66">
        <v>0</v>
      </c>
      <c r="K269" s="66">
        <v>0</v>
      </c>
      <c r="L269" s="66">
        <v>5</v>
      </c>
      <c r="M269" s="66">
        <v>6</v>
      </c>
      <c r="N269" s="66">
        <v>1</v>
      </c>
      <c r="O269" s="66">
        <v>0</v>
      </c>
      <c r="P269" s="66">
        <v>0</v>
      </c>
      <c r="Q269" s="66">
        <v>0</v>
      </c>
      <c r="R269" s="66">
        <v>0</v>
      </c>
      <c r="S269" s="66">
        <v>0</v>
      </c>
      <c r="T269" s="66">
        <v>0</v>
      </c>
      <c r="U269" s="66">
        <v>0</v>
      </c>
      <c r="V269" s="66">
        <v>12</v>
      </c>
      <c r="W269" s="67">
        <v>1</v>
      </c>
      <c r="X269"/>
    </row>
    <row r="270" spans="1:24" ht="15" x14ac:dyDescent="0.25">
      <c r="A270" s="40"/>
      <c r="B270" s="40"/>
      <c r="C270" s="40"/>
      <c r="D270" s="35" t="s">
        <v>221</v>
      </c>
      <c r="E270" s="35">
        <v>5452</v>
      </c>
      <c r="F270" s="35" t="s">
        <v>100</v>
      </c>
      <c r="G270" s="43">
        <v>305</v>
      </c>
      <c r="H270" s="44">
        <v>0</v>
      </c>
      <c r="I270" s="44">
        <v>0</v>
      </c>
      <c r="J270" s="44">
        <v>0</v>
      </c>
      <c r="K270" s="44">
        <v>0</v>
      </c>
      <c r="L270" s="44">
        <v>40</v>
      </c>
      <c r="M270" s="44">
        <v>9</v>
      </c>
      <c r="N270" s="44">
        <v>0</v>
      </c>
      <c r="O270" s="44">
        <v>12</v>
      </c>
      <c r="P270" s="44">
        <v>0</v>
      </c>
      <c r="Q270" s="44">
        <v>28</v>
      </c>
      <c r="R270" s="44">
        <v>40</v>
      </c>
      <c r="S270" s="44">
        <v>0</v>
      </c>
      <c r="T270" s="44">
        <v>5</v>
      </c>
      <c r="U270" s="44">
        <v>0</v>
      </c>
      <c r="V270" s="44">
        <v>134</v>
      </c>
      <c r="W270" s="39">
        <v>0.43934426229508194</v>
      </c>
      <c r="X270"/>
    </row>
    <row r="271" spans="1:24" ht="15" x14ac:dyDescent="0.25">
      <c r="A271" s="40"/>
      <c r="B271" s="40"/>
      <c r="C271" s="40"/>
      <c r="D271" s="63" t="s">
        <v>297</v>
      </c>
      <c r="E271" s="64"/>
      <c r="F271" s="64"/>
      <c r="G271" s="65">
        <v>305</v>
      </c>
      <c r="H271" s="66">
        <v>0</v>
      </c>
      <c r="I271" s="66">
        <v>0</v>
      </c>
      <c r="J271" s="66">
        <v>0</v>
      </c>
      <c r="K271" s="66">
        <v>0</v>
      </c>
      <c r="L271" s="66">
        <v>40</v>
      </c>
      <c r="M271" s="66">
        <v>9</v>
      </c>
      <c r="N271" s="66">
        <v>0</v>
      </c>
      <c r="O271" s="66">
        <v>12</v>
      </c>
      <c r="P271" s="66">
        <v>0</v>
      </c>
      <c r="Q271" s="66">
        <v>28</v>
      </c>
      <c r="R271" s="66">
        <v>40</v>
      </c>
      <c r="S271" s="66">
        <v>0</v>
      </c>
      <c r="T271" s="66">
        <v>5</v>
      </c>
      <c r="U271" s="66">
        <v>0</v>
      </c>
      <c r="V271" s="66">
        <v>134</v>
      </c>
      <c r="W271" s="67">
        <v>0.43934426229508194</v>
      </c>
      <c r="X271"/>
    </row>
    <row r="272" spans="1:24" ht="15" x14ac:dyDescent="0.25">
      <c r="A272" s="40"/>
      <c r="B272" s="40"/>
      <c r="C272" s="40"/>
      <c r="D272" s="35" t="s">
        <v>271</v>
      </c>
      <c r="E272" s="35" t="s">
        <v>20</v>
      </c>
      <c r="F272" s="35" t="s">
        <v>100</v>
      </c>
      <c r="G272" s="43">
        <v>720</v>
      </c>
      <c r="H272" s="44">
        <v>0</v>
      </c>
      <c r="I272" s="44">
        <v>0</v>
      </c>
      <c r="J272" s="44">
        <v>0</v>
      </c>
      <c r="K272" s="44">
        <v>0</v>
      </c>
      <c r="L272" s="44">
        <v>0</v>
      </c>
      <c r="M272" s="44">
        <v>25</v>
      </c>
      <c r="N272" s="44">
        <v>41</v>
      </c>
      <c r="O272" s="44">
        <v>0</v>
      </c>
      <c r="P272" s="44">
        <v>0</v>
      </c>
      <c r="Q272" s="44">
        <v>45</v>
      </c>
      <c r="R272" s="44">
        <v>25</v>
      </c>
      <c r="S272" s="44">
        <v>0</v>
      </c>
      <c r="T272" s="44">
        <v>0</v>
      </c>
      <c r="U272" s="44">
        <v>10</v>
      </c>
      <c r="V272" s="44">
        <v>146</v>
      </c>
      <c r="W272" s="39">
        <v>0.20277777777777778</v>
      </c>
      <c r="X272"/>
    </row>
    <row r="273" spans="1:24" ht="15" x14ac:dyDescent="0.25">
      <c r="A273" s="40"/>
      <c r="B273" s="40"/>
      <c r="C273" s="40"/>
      <c r="D273" s="63" t="s">
        <v>311</v>
      </c>
      <c r="E273" s="64"/>
      <c r="F273" s="64"/>
      <c r="G273" s="65">
        <v>720</v>
      </c>
      <c r="H273" s="66">
        <v>0</v>
      </c>
      <c r="I273" s="66">
        <v>0</v>
      </c>
      <c r="J273" s="66">
        <v>0</v>
      </c>
      <c r="K273" s="66">
        <v>0</v>
      </c>
      <c r="L273" s="66">
        <v>0</v>
      </c>
      <c r="M273" s="66">
        <v>25</v>
      </c>
      <c r="N273" s="66">
        <v>41</v>
      </c>
      <c r="O273" s="66">
        <v>0</v>
      </c>
      <c r="P273" s="66">
        <v>0</v>
      </c>
      <c r="Q273" s="66">
        <v>45</v>
      </c>
      <c r="R273" s="66">
        <v>25</v>
      </c>
      <c r="S273" s="66">
        <v>0</v>
      </c>
      <c r="T273" s="66">
        <v>0</v>
      </c>
      <c r="U273" s="66">
        <v>10</v>
      </c>
      <c r="V273" s="66">
        <v>146</v>
      </c>
      <c r="W273" s="67">
        <v>0.20277777777777778</v>
      </c>
      <c r="X273"/>
    </row>
    <row r="274" spans="1:24" ht="15" x14ac:dyDescent="0.25">
      <c r="A274" s="40"/>
      <c r="B274" s="35" t="s">
        <v>267</v>
      </c>
      <c r="C274" s="35">
        <v>184026</v>
      </c>
      <c r="D274" s="35" t="s">
        <v>187</v>
      </c>
      <c r="E274" s="35">
        <v>5627</v>
      </c>
      <c r="F274" s="35" t="s">
        <v>100</v>
      </c>
      <c r="G274" s="43">
        <v>57</v>
      </c>
      <c r="H274" s="44">
        <v>0</v>
      </c>
      <c r="I274" s="44">
        <v>0</v>
      </c>
      <c r="J274" s="44">
        <v>0</v>
      </c>
      <c r="K274" s="44">
        <v>0</v>
      </c>
      <c r="L274" s="44">
        <v>0</v>
      </c>
      <c r="M274" s="44">
        <v>0</v>
      </c>
      <c r="N274" s="44">
        <v>0</v>
      </c>
      <c r="O274" s="44">
        <v>0</v>
      </c>
      <c r="P274" s="44">
        <v>0</v>
      </c>
      <c r="Q274" s="44">
        <v>0</v>
      </c>
      <c r="R274" s="44">
        <v>0</v>
      </c>
      <c r="S274" s="44">
        <v>0</v>
      </c>
      <c r="T274" s="44">
        <v>0</v>
      </c>
      <c r="U274" s="44">
        <v>57</v>
      </c>
      <c r="V274" s="44">
        <v>57</v>
      </c>
      <c r="W274" s="39">
        <v>1</v>
      </c>
      <c r="X274"/>
    </row>
    <row r="275" spans="1:24" ht="15" x14ac:dyDescent="0.25">
      <c r="A275" s="40"/>
      <c r="B275" s="40"/>
      <c r="C275" s="40"/>
      <c r="D275" s="63" t="s">
        <v>293</v>
      </c>
      <c r="E275" s="64"/>
      <c r="F275" s="64"/>
      <c r="G275" s="65">
        <v>57</v>
      </c>
      <c r="H275" s="66">
        <v>0</v>
      </c>
      <c r="I275" s="66">
        <v>0</v>
      </c>
      <c r="J275" s="66">
        <v>0</v>
      </c>
      <c r="K275" s="66">
        <v>0</v>
      </c>
      <c r="L275" s="66">
        <v>0</v>
      </c>
      <c r="M275" s="66">
        <v>0</v>
      </c>
      <c r="N275" s="66">
        <v>0</v>
      </c>
      <c r="O275" s="66">
        <v>0</v>
      </c>
      <c r="P275" s="66">
        <v>0</v>
      </c>
      <c r="Q275" s="66">
        <v>0</v>
      </c>
      <c r="R275" s="66">
        <v>0</v>
      </c>
      <c r="S275" s="66">
        <v>0</v>
      </c>
      <c r="T275" s="66">
        <v>0</v>
      </c>
      <c r="U275" s="66">
        <v>57</v>
      </c>
      <c r="V275" s="66">
        <v>57</v>
      </c>
      <c r="W275" s="67">
        <v>1</v>
      </c>
      <c r="X275"/>
    </row>
    <row r="276" spans="1:24" ht="15" x14ac:dyDescent="0.25">
      <c r="A276" s="40"/>
      <c r="B276" s="35" t="s">
        <v>268</v>
      </c>
      <c r="C276" s="35">
        <v>54689</v>
      </c>
      <c r="D276" s="35" t="s">
        <v>212</v>
      </c>
      <c r="E276" s="35">
        <v>5632</v>
      </c>
      <c r="F276" s="35" t="s">
        <v>100</v>
      </c>
      <c r="G276" s="43">
        <v>7</v>
      </c>
      <c r="H276" s="44">
        <v>0</v>
      </c>
      <c r="I276" s="44">
        <v>0</v>
      </c>
      <c r="J276" s="44">
        <v>0</v>
      </c>
      <c r="K276" s="44">
        <v>0</v>
      </c>
      <c r="L276" s="44">
        <v>0</v>
      </c>
      <c r="M276" s="44">
        <v>0</v>
      </c>
      <c r="N276" s="44">
        <v>0</v>
      </c>
      <c r="O276" s="44">
        <v>0</v>
      </c>
      <c r="P276" s="44">
        <v>0</v>
      </c>
      <c r="Q276" s="44">
        <v>0</v>
      </c>
      <c r="R276" s="44">
        <v>0</v>
      </c>
      <c r="S276" s="44">
        <v>0</v>
      </c>
      <c r="T276" s="44">
        <v>7</v>
      </c>
      <c r="U276" s="44">
        <v>0</v>
      </c>
      <c r="V276" s="44">
        <v>7</v>
      </c>
      <c r="W276" s="39">
        <v>1</v>
      </c>
      <c r="X276"/>
    </row>
    <row r="277" spans="1:24" ht="15" x14ac:dyDescent="0.25">
      <c r="A277" s="40"/>
      <c r="B277" s="40"/>
      <c r="C277" s="40"/>
      <c r="D277" s="63" t="s">
        <v>307</v>
      </c>
      <c r="E277" s="64"/>
      <c r="F277" s="64"/>
      <c r="G277" s="65">
        <v>7</v>
      </c>
      <c r="H277" s="66">
        <v>0</v>
      </c>
      <c r="I277" s="66">
        <v>0</v>
      </c>
      <c r="J277" s="66">
        <v>0</v>
      </c>
      <c r="K277" s="66">
        <v>0</v>
      </c>
      <c r="L277" s="66">
        <v>0</v>
      </c>
      <c r="M277" s="66">
        <v>0</v>
      </c>
      <c r="N277" s="66">
        <v>0</v>
      </c>
      <c r="O277" s="66">
        <v>0</v>
      </c>
      <c r="P277" s="66">
        <v>0</v>
      </c>
      <c r="Q277" s="66">
        <v>0</v>
      </c>
      <c r="R277" s="66">
        <v>0</v>
      </c>
      <c r="S277" s="66">
        <v>0</v>
      </c>
      <c r="T277" s="66">
        <v>7</v>
      </c>
      <c r="U277" s="66">
        <v>0</v>
      </c>
      <c r="V277" s="66">
        <v>7</v>
      </c>
      <c r="W277" s="67">
        <v>1</v>
      </c>
      <c r="X277"/>
    </row>
    <row r="278" spans="1:24" ht="15" x14ac:dyDescent="0.25">
      <c r="A278" s="40"/>
      <c r="B278" s="35" t="s">
        <v>269</v>
      </c>
      <c r="C278" s="35">
        <v>183915</v>
      </c>
      <c r="D278" s="35" t="s">
        <v>220</v>
      </c>
      <c r="E278" s="35">
        <v>6089</v>
      </c>
      <c r="F278" s="35" t="s">
        <v>100</v>
      </c>
      <c r="G278" s="43">
        <v>1</v>
      </c>
      <c r="H278" s="44">
        <v>0</v>
      </c>
      <c r="I278" s="44">
        <v>0</v>
      </c>
      <c r="J278" s="44">
        <v>0</v>
      </c>
      <c r="K278" s="44">
        <v>0</v>
      </c>
      <c r="L278" s="44">
        <v>0</v>
      </c>
      <c r="M278" s="44">
        <v>0</v>
      </c>
      <c r="N278" s="44">
        <v>0</v>
      </c>
      <c r="O278" s="44">
        <v>0</v>
      </c>
      <c r="P278" s="44">
        <v>0</v>
      </c>
      <c r="Q278" s="44">
        <v>0</v>
      </c>
      <c r="R278" s="44">
        <v>1</v>
      </c>
      <c r="S278" s="44">
        <v>0</v>
      </c>
      <c r="T278" s="44">
        <v>0</v>
      </c>
      <c r="U278" s="44">
        <v>0</v>
      </c>
      <c r="V278" s="44">
        <v>1</v>
      </c>
      <c r="W278" s="39">
        <v>1</v>
      </c>
      <c r="X278"/>
    </row>
    <row r="279" spans="1:24" ht="15" x14ac:dyDescent="0.25">
      <c r="A279" s="40"/>
      <c r="B279" s="40"/>
      <c r="C279" s="40"/>
      <c r="D279" s="63" t="s">
        <v>295</v>
      </c>
      <c r="E279" s="64"/>
      <c r="F279" s="64"/>
      <c r="G279" s="65">
        <v>1</v>
      </c>
      <c r="H279" s="66">
        <v>0</v>
      </c>
      <c r="I279" s="66">
        <v>0</v>
      </c>
      <c r="J279" s="66">
        <v>0</v>
      </c>
      <c r="K279" s="66">
        <v>0</v>
      </c>
      <c r="L279" s="66">
        <v>0</v>
      </c>
      <c r="M279" s="66">
        <v>0</v>
      </c>
      <c r="N279" s="66">
        <v>0</v>
      </c>
      <c r="O279" s="66">
        <v>0</v>
      </c>
      <c r="P279" s="66">
        <v>0</v>
      </c>
      <c r="Q279" s="66">
        <v>0</v>
      </c>
      <c r="R279" s="66">
        <v>1</v>
      </c>
      <c r="S279" s="66">
        <v>0</v>
      </c>
      <c r="T279" s="66">
        <v>0</v>
      </c>
      <c r="U279" s="66">
        <v>0</v>
      </c>
      <c r="V279" s="66">
        <v>1</v>
      </c>
      <c r="W279" s="67">
        <v>1</v>
      </c>
      <c r="X279"/>
    </row>
    <row r="280" spans="1:24" ht="15" x14ac:dyDescent="0.25">
      <c r="A280" s="40"/>
      <c r="B280" s="35" t="s">
        <v>270</v>
      </c>
      <c r="C280" s="35">
        <v>54310</v>
      </c>
      <c r="D280" s="35" t="s">
        <v>244</v>
      </c>
      <c r="E280" s="35">
        <v>6089</v>
      </c>
      <c r="F280" s="35" t="s">
        <v>100</v>
      </c>
      <c r="G280" s="43">
        <v>9</v>
      </c>
      <c r="H280" s="44">
        <v>0</v>
      </c>
      <c r="I280" s="44">
        <v>0</v>
      </c>
      <c r="J280" s="44">
        <v>0</v>
      </c>
      <c r="K280" s="44">
        <v>0</v>
      </c>
      <c r="L280" s="44">
        <v>0</v>
      </c>
      <c r="M280" s="44">
        <v>0</v>
      </c>
      <c r="N280" s="44">
        <v>0</v>
      </c>
      <c r="O280" s="44">
        <v>0</v>
      </c>
      <c r="P280" s="44">
        <v>0</v>
      </c>
      <c r="Q280" s="44">
        <v>0</v>
      </c>
      <c r="R280" s="44">
        <v>0</v>
      </c>
      <c r="S280" s="44">
        <v>9</v>
      </c>
      <c r="T280" s="44">
        <v>0</v>
      </c>
      <c r="U280" s="44">
        <v>0</v>
      </c>
      <c r="V280" s="44">
        <v>9</v>
      </c>
      <c r="W280" s="39">
        <v>1</v>
      </c>
      <c r="X280"/>
    </row>
    <row r="281" spans="1:24" ht="15" x14ac:dyDescent="0.25">
      <c r="A281" s="40"/>
      <c r="B281" s="40"/>
      <c r="C281" s="40"/>
      <c r="D281" s="63" t="s">
        <v>308</v>
      </c>
      <c r="E281" s="64"/>
      <c r="F281" s="64"/>
      <c r="G281" s="65">
        <v>9</v>
      </c>
      <c r="H281" s="66">
        <v>0</v>
      </c>
      <c r="I281" s="66">
        <v>0</v>
      </c>
      <c r="J281" s="66">
        <v>0</v>
      </c>
      <c r="K281" s="66">
        <v>0</v>
      </c>
      <c r="L281" s="66">
        <v>0</v>
      </c>
      <c r="M281" s="66">
        <v>0</v>
      </c>
      <c r="N281" s="66">
        <v>0</v>
      </c>
      <c r="O281" s="66">
        <v>0</v>
      </c>
      <c r="P281" s="66">
        <v>0</v>
      </c>
      <c r="Q281" s="66">
        <v>0</v>
      </c>
      <c r="R281" s="66">
        <v>0</v>
      </c>
      <c r="S281" s="66">
        <v>9</v>
      </c>
      <c r="T281" s="66">
        <v>0</v>
      </c>
      <c r="U281" s="66">
        <v>0</v>
      </c>
      <c r="V281" s="66">
        <v>9</v>
      </c>
      <c r="W281" s="67">
        <v>1</v>
      </c>
      <c r="X281"/>
    </row>
    <row r="282" spans="1:24" ht="15" x14ac:dyDescent="0.25">
      <c r="A282" s="47" t="s">
        <v>102</v>
      </c>
      <c r="B282" s="57"/>
      <c r="C282" s="57"/>
      <c r="D282" s="57"/>
      <c r="E282" s="57"/>
      <c r="F282" s="57"/>
      <c r="G282" s="58">
        <v>3456</v>
      </c>
      <c r="H282" s="59">
        <v>0</v>
      </c>
      <c r="I282" s="59">
        <v>0</v>
      </c>
      <c r="J282" s="59">
        <v>0</v>
      </c>
      <c r="K282" s="59">
        <v>0</v>
      </c>
      <c r="L282" s="59">
        <v>574</v>
      </c>
      <c r="M282" s="59">
        <v>179</v>
      </c>
      <c r="N282" s="59">
        <v>441</v>
      </c>
      <c r="O282" s="59">
        <v>241</v>
      </c>
      <c r="P282" s="59">
        <v>0</v>
      </c>
      <c r="Q282" s="59">
        <v>264</v>
      </c>
      <c r="R282" s="59">
        <v>538</v>
      </c>
      <c r="S282" s="59">
        <v>9</v>
      </c>
      <c r="T282" s="59">
        <v>258</v>
      </c>
      <c r="U282" s="59">
        <v>67</v>
      </c>
      <c r="V282" s="59">
        <v>2571</v>
      </c>
      <c r="W282" s="60">
        <v>0.74392361111111116</v>
      </c>
      <c r="X282"/>
    </row>
    <row r="283" spans="1:24" ht="15" x14ac:dyDescent="0.25">
      <c r="A283" s="35" t="s">
        <v>67</v>
      </c>
      <c r="B283" s="35" t="s">
        <v>88</v>
      </c>
      <c r="C283" s="35" t="s">
        <v>90</v>
      </c>
      <c r="D283" s="35" t="s">
        <v>221</v>
      </c>
      <c r="E283" s="35">
        <v>5452</v>
      </c>
      <c r="F283" s="35" t="s">
        <v>67</v>
      </c>
      <c r="G283" s="43">
        <v>499</v>
      </c>
      <c r="H283" s="44">
        <v>0</v>
      </c>
      <c r="I283" s="44">
        <v>0</v>
      </c>
      <c r="J283" s="44">
        <v>0</v>
      </c>
      <c r="K283" s="44">
        <v>0</v>
      </c>
      <c r="L283" s="44">
        <v>0</v>
      </c>
      <c r="M283" s="44">
        <v>0</v>
      </c>
      <c r="N283" s="44">
        <v>0</v>
      </c>
      <c r="O283" s="44">
        <v>0</v>
      </c>
      <c r="P283" s="44">
        <v>10</v>
      </c>
      <c r="Q283" s="44">
        <v>35</v>
      </c>
      <c r="R283" s="44">
        <v>0</v>
      </c>
      <c r="S283" s="44">
        <v>55</v>
      </c>
      <c r="T283" s="44">
        <v>40</v>
      </c>
      <c r="U283" s="44">
        <v>0</v>
      </c>
      <c r="V283" s="44">
        <v>140</v>
      </c>
      <c r="W283" s="39">
        <v>0.28056112224448898</v>
      </c>
      <c r="X283"/>
    </row>
    <row r="284" spans="1:24" ht="15" x14ac:dyDescent="0.25">
      <c r="A284" s="40"/>
      <c r="B284" s="40"/>
      <c r="C284" s="40"/>
      <c r="D284" s="63" t="s">
        <v>297</v>
      </c>
      <c r="E284" s="64"/>
      <c r="F284" s="64"/>
      <c r="G284" s="65">
        <v>499</v>
      </c>
      <c r="H284" s="66">
        <v>0</v>
      </c>
      <c r="I284" s="66">
        <v>0</v>
      </c>
      <c r="J284" s="66">
        <v>0</v>
      </c>
      <c r="K284" s="66">
        <v>0</v>
      </c>
      <c r="L284" s="66">
        <v>0</v>
      </c>
      <c r="M284" s="66">
        <v>0</v>
      </c>
      <c r="N284" s="66">
        <v>0</v>
      </c>
      <c r="O284" s="66">
        <v>0</v>
      </c>
      <c r="P284" s="66">
        <v>10</v>
      </c>
      <c r="Q284" s="66">
        <v>35</v>
      </c>
      <c r="R284" s="66">
        <v>0</v>
      </c>
      <c r="S284" s="66">
        <v>55</v>
      </c>
      <c r="T284" s="66">
        <v>40</v>
      </c>
      <c r="U284" s="66">
        <v>0</v>
      </c>
      <c r="V284" s="66">
        <v>140</v>
      </c>
      <c r="W284" s="67">
        <v>0.28056112224448898</v>
      </c>
      <c r="X284"/>
    </row>
    <row r="285" spans="1:24" ht="15" x14ac:dyDescent="0.25">
      <c r="A285" s="40"/>
      <c r="B285" s="40"/>
      <c r="C285" s="40"/>
      <c r="D285" s="35" t="s">
        <v>263</v>
      </c>
      <c r="E285" s="35">
        <v>5653</v>
      </c>
      <c r="F285" s="35" t="s">
        <v>67</v>
      </c>
      <c r="G285" s="43">
        <v>10</v>
      </c>
      <c r="H285" s="44">
        <v>0</v>
      </c>
      <c r="I285" s="44">
        <v>0</v>
      </c>
      <c r="J285" s="44">
        <v>0</v>
      </c>
      <c r="K285" s="44">
        <v>0</v>
      </c>
      <c r="L285" s="44">
        <v>0</v>
      </c>
      <c r="M285" s="44">
        <v>0</v>
      </c>
      <c r="N285" s="44">
        <v>0</v>
      </c>
      <c r="O285" s="44">
        <v>0</v>
      </c>
      <c r="P285" s="44">
        <v>0</v>
      </c>
      <c r="Q285" s="44">
        <v>0</v>
      </c>
      <c r="R285" s="44">
        <v>0</v>
      </c>
      <c r="S285" s="44">
        <v>0</v>
      </c>
      <c r="T285" s="44">
        <v>0</v>
      </c>
      <c r="U285" s="44">
        <v>0</v>
      </c>
      <c r="V285" s="44">
        <v>0</v>
      </c>
      <c r="W285" s="39">
        <v>0</v>
      </c>
      <c r="X285"/>
    </row>
    <row r="286" spans="1:24" ht="15" x14ac:dyDescent="0.25">
      <c r="A286" s="40"/>
      <c r="B286" s="40"/>
      <c r="C286" s="40"/>
      <c r="D286" s="63" t="s">
        <v>310</v>
      </c>
      <c r="E286" s="64"/>
      <c r="F286" s="64"/>
      <c r="G286" s="65">
        <v>10</v>
      </c>
      <c r="H286" s="66">
        <v>0</v>
      </c>
      <c r="I286" s="66">
        <v>0</v>
      </c>
      <c r="J286" s="66">
        <v>0</v>
      </c>
      <c r="K286" s="66">
        <v>0</v>
      </c>
      <c r="L286" s="66">
        <v>0</v>
      </c>
      <c r="M286" s="66">
        <v>0</v>
      </c>
      <c r="N286" s="66">
        <v>0</v>
      </c>
      <c r="O286" s="66">
        <v>0</v>
      </c>
      <c r="P286" s="66">
        <v>0</v>
      </c>
      <c r="Q286" s="66">
        <v>0</v>
      </c>
      <c r="R286" s="66">
        <v>0</v>
      </c>
      <c r="S286" s="66">
        <v>0</v>
      </c>
      <c r="T286" s="66">
        <v>0</v>
      </c>
      <c r="U286" s="66">
        <v>0</v>
      </c>
      <c r="V286" s="66">
        <v>0</v>
      </c>
      <c r="W286" s="67">
        <v>0</v>
      </c>
      <c r="X286"/>
    </row>
    <row r="287" spans="1:24" ht="15" x14ac:dyDescent="0.25">
      <c r="A287" s="40"/>
      <c r="B287" s="35" t="s">
        <v>80</v>
      </c>
      <c r="C287" s="35" t="s">
        <v>79</v>
      </c>
      <c r="D287" s="35" t="s">
        <v>221</v>
      </c>
      <c r="E287" s="35">
        <v>5452</v>
      </c>
      <c r="F287" s="35" t="s">
        <v>67</v>
      </c>
      <c r="G287" s="43">
        <v>51</v>
      </c>
      <c r="H287" s="44">
        <v>0</v>
      </c>
      <c r="I287" s="44">
        <v>0</v>
      </c>
      <c r="J287" s="44">
        <v>0</v>
      </c>
      <c r="K287" s="44">
        <v>0</v>
      </c>
      <c r="L287" s="44">
        <v>0</v>
      </c>
      <c r="M287" s="44">
        <v>0</v>
      </c>
      <c r="N287" s="44">
        <v>51</v>
      </c>
      <c r="O287" s="44">
        <v>0</v>
      </c>
      <c r="P287" s="44">
        <v>0</v>
      </c>
      <c r="Q287" s="44">
        <v>0</v>
      </c>
      <c r="R287" s="44">
        <v>0</v>
      </c>
      <c r="S287" s="44">
        <v>0</v>
      </c>
      <c r="T287" s="44">
        <v>0</v>
      </c>
      <c r="U287" s="44">
        <v>0</v>
      </c>
      <c r="V287" s="44">
        <v>51</v>
      </c>
      <c r="W287" s="39">
        <v>1</v>
      </c>
      <c r="X287"/>
    </row>
    <row r="288" spans="1:24" ht="15" x14ac:dyDescent="0.25">
      <c r="A288" s="40"/>
      <c r="B288" s="40"/>
      <c r="C288" s="40"/>
      <c r="D288" s="63" t="s">
        <v>297</v>
      </c>
      <c r="E288" s="64"/>
      <c r="F288" s="64"/>
      <c r="G288" s="65">
        <v>51</v>
      </c>
      <c r="H288" s="66">
        <v>0</v>
      </c>
      <c r="I288" s="66">
        <v>0</v>
      </c>
      <c r="J288" s="66">
        <v>0</v>
      </c>
      <c r="K288" s="66">
        <v>0</v>
      </c>
      <c r="L288" s="66">
        <v>0</v>
      </c>
      <c r="M288" s="66">
        <v>0</v>
      </c>
      <c r="N288" s="66">
        <v>51</v>
      </c>
      <c r="O288" s="66">
        <v>0</v>
      </c>
      <c r="P288" s="66">
        <v>0</v>
      </c>
      <c r="Q288" s="66">
        <v>0</v>
      </c>
      <c r="R288" s="66">
        <v>0</v>
      </c>
      <c r="S288" s="66">
        <v>0</v>
      </c>
      <c r="T288" s="66">
        <v>0</v>
      </c>
      <c r="U288" s="66">
        <v>0</v>
      </c>
      <c r="V288" s="66">
        <v>51</v>
      </c>
      <c r="W288" s="67">
        <v>1</v>
      </c>
      <c r="X288"/>
    </row>
    <row r="289" spans="1:24" ht="15" x14ac:dyDescent="0.25">
      <c r="A289" s="40"/>
      <c r="B289" s="35" t="s">
        <v>68</v>
      </c>
      <c r="C289" s="35" t="s">
        <v>66</v>
      </c>
      <c r="D289" s="35" t="s">
        <v>221</v>
      </c>
      <c r="E289" s="35">
        <v>5452</v>
      </c>
      <c r="F289" s="35" t="s">
        <v>67</v>
      </c>
      <c r="G289" s="43">
        <v>618</v>
      </c>
      <c r="H289" s="44">
        <v>0</v>
      </c>
      <c r="I289" s="44">
        <v>187</v>
      </c>
      <c r="J289" s="44">
        <v>24</v>
      </c>
      <c r="K289" s="44">
        <v>3</v>
      </c>
      <c r="L289" s="44">
        <v>0</v>
      </c>
      <c r="M289" s="44">
        <v>0</v>
      </c>
      <c r="N289" s="44">
        <v>0</v>
      </c>
      <c r="O289" s="44">
        <v>0</v>
      </c>
      <c r="P289" s="44">
        <v>0</v>
      </c>
      <c r="Q289" s="44">
        <v>0</v>
      </c>
      <c r="R289" s="44">
        <v>0</v>
      </c>
      <c r="S289" s="44">
        <v>0</v>
      </c>
      <c r="T289" s="44">
        <v>0</v>
      </c>
      <c r="U289" s="44">
        <v>0</v>
      </c>
      <c r="V289" s="44">
        <v>214</v>
      </c>
      <c r="W289" s="39">
        <v>0.34627831715210355</v>
      </c>
      <c r="X289"/>
    </row>
    <row r="290" spans="1:24" ht="15" x14ac:dyDescent="0.25">
      <c r="A290" s="40"/>
      <c r="B290" s="40"/>
      <c r="C290" s="40"/>
      <c r="D290" s="63" t="s">
        <v>297</v>
      </c>
      <c r="E290" s="64"/>
      <c r="F290" s="64"/>
      <c r="G290" s="65">
        <v>618</v>
      </c>
      <c r="H290" s="66">
        <v>0</v>
      </c>
      <c r="I290" s="66">
        <v>187</v>
      </c>
      <c r="J290" s="66">
        <v>24</v>
      </c>
      <c r="K290" s="66">
        <v>3</v>
      </c>
      <c r="L290" s="66">
        <v>0</v>
      </c>
      <c r="M290" s="66">
        <v>0</v>
      </c>
      <c r="N290" s="66">
        <v>0</v>
      </c>
      <c r="O290" s="66">
        <v>0</v>
      </c>
      <c r="P290" s="66">
        <v>0</v>
      </c>
      <c r="Q290" s="66">
        <v>0</v>
      </c>
      <c r="R290" s="66">
        <v>0</v>
      </c>
      <c r="S290" s="66">
        <v>0</v>
      </c>
      <c r="T290" s="66">
        <v>0</v>
      </c>
      <c r="U290" s="66">
        <v>0</v>
      </c>
      <c r="V290" s="66">
        <v>214</v>
      </c>
      <c r="W290" s="67">
        <v>0.34627831715210355</v>
      </c>
      <c r="X290"/>
    </row>
    <row r="291" spans="1:24" ht="15" x14ac:dyDescent="0.25">
      <c r="A291" s="47" t="s">
        <v>76</v>
      </c>
      <c r="B291" s="57"/>
      <c r="C291" s="57"/>
      <c r="D291" s="57"/>
      <c r="E291" s="57"/>
      <c r="F291" s="57"/>
      <c r="G291" s="58">
        <v>1178</v>
      </c>
      <c r="H291" s="59">
        <v>0</v>
      </c>
      <c r="I291" s="59">
        <v>187</v>
      </c>
      <c r="J291" s="59">
        <v>24</v>
      </c>
      <c r="K291" s="59">
        <v>3</v>
      </c>
      <c r="L291" s="59">
        <v>0</v>
      </c>
      <c r="M291" s="59">
        <v>0</v>
      </c>
      <c r="N291" s="59">
        <v>51</v>
      </c>
      <c r="O291" s="59">
        <v>0</v>
      </c>
      <c r="P291" s="59">
        <v>10</v>
      </c>
      <c r="Q291" s="59">
        <v>35</v>
      </c>
      <c r="R291" s="59">
        <v>0</v>
      </c>
      <c r="S291" s="59">
        <v>55</v>
      </c>
      <c r="T291" s="59">
        <v>40</v>
      </c>
      <c r="U291" s="59">
        <v>0</v>
      </c>
      <c r="V291" s="59">
        <v>405</v>
      </c>
      <c r="W291" s="60">
        <v>0.34380305602716471</v>
      </c>
      <c r="X291"/>
    </row>
    <row r="292" spans="1:24" ht="15" x14ac:dyDescent="0.25">
      <c r="A292" s="35" t="s">
        <v>71</v>
      </c>
      <c r="B292" s="35" t="s">
        <v>127</v>
      </c>
      <c r="C292" s="35" t="s">
        <v>126</v>
      </c>
      <c r="D292" s="35" t="s">
        <v>187</v>
      </c>
      <c r="E292" s="35">
        <v>5627</v>
      </c>
      <c r="F292" s="35" t="s">
        <v>83</v>
      </c>
      <c r="G292" s="43">
        <v>0</v>
      </c>
      <c r="H292" s="44">
        <v>0</v>
      </c>
      <c r="I292" s="44">
        <v>0</v>
      </c>
      <c r="J292" s="44">
        <v>0</v>
      </c>
      <c r="K292" s="44">
        <v>0</v>
      </c>
      <c r="L292" s="44">
        <v>0</v>
      </c>
      <c r="M292" s="44">
        <v>0</v>
      </c>
      <c r="N292" s="44">
        <v>14</v>
      </c>
      <c r="O292" s="44">
        <v>0</v>
      </c>
      <c r="P292" s="44">
        <v>0</v>
      </c>
      <c r="Q292" s="44">
        <v>0</v>
      </c>
      <c r="R292" s="44">
        <v>0</v>
      </c>
      <c r="S292" s="44">
        <v>0</v>
      </c>
      <c r="T292" s="44">
        <v>0</v>
      </c>
      <c r="U292" s="44">
        <v>0</v>
      </c>
      <c r="V292" s="44">
        <v>14</v>
      </c>
      <c r="W292" s="39">
        <v>0</v>
      </c>
      <c r="X292"/>
    </row>
    <row r="293" spans="1:24" ht="15" x14ac:dyDescent="0.25">
      <c r="A293" s="40"/>
      <c r="B293" s="40"/>
      <c r="C293" s="40"/>
      <c r="D293" s="40"/>
      <c r="E293" s="40"/>
      <c r="F293" s="41" t="s">
        <v>96</v>
      </c>
      <c r="G293" s="45">
        <v>0</v>
      </c>
      <c r="H293" s="30">
        <v>0</v>
      </c>
      <c r="I293" s="30">
        <v>0</v>
      </c>
      <c r="J293" s="30">
        <v>150</v>
      </c>
      <c r="K293" s="30">
        <v>0</v>
      </c>
      <c r="L293" s="30">
        <v>0</v>
      </c>
      <c r="M293" s="30">
        <v>150</v>
      </c>
      <c r="N293" s="30">
        <v>0</v>
      </c>
      <c r="O293" s="30">
        <v>0</v>
      </c>
      <c r="P293" s="30">
        <v>0</v>
      </c>
      <c r="Q293" s="30">
        <v>0</v>
      </c>
      <c r="R293" s="30">
        <v>0</v>
      </c>
      <c r="S293" s="30">
        <v>0</v>
      </c>
      <c r="T293" s="30">
        <v>0</v>
      </c>
      <c r="U293" s="30">
        <v>0</v>
      </c>
      <c r="V293" s="30">
        <v>300</v>
      </c>
      <c r="W293" s="42">
        <v>0</v>
      </c>
      <c r="X293"/>
    </row>
    <row r="294" spans="1:24" ht="15" x14ac:dyDescent="0.25">
      <c r="A294" s="40"/>
      <c r="B294" s="40"/>
      <c r="C294" s="40"/>
      <c r="D294" s="40"/>
      <c r="E294" s="40"/>
      <c r="F294" s="41" t="s">
        <v>71</v>
      </c>
      <c r="G294" s="45">
        <v>314</v>
      </c>
      <c r="H294" s="30">
        <v>0</v>
      </c>
      <c r="I294" s="30">
        <v>0</v>
      </c>
      <c r="J294" s="30">
        <v>7</v>
      </c>
      <c r="K294" s="30">
        <v>0</v>
      </c>
      <c r="L294" s="30">
        <v>0</v>
      </c>
      <c r="M294" s="30">
        <v>7</v>
      </c>
      <c r="N294" s="30">
        <v>-14</v>
      </c>
      <c r="O294" s="30">
        <v>0</v>
      </c>
      <c r="P294" s="30">
        <v>0</v>
      </c>
      <c r="Q294" s="30">
        <v>0</v>
      </c>
      <c r="R294" s="30">
        <v>0</v>
      </c>
      <c r="S294" s="30">
        <v>0</v>
      </c>
      <c r="T294" s="30">
        <v>0</v>
      </c>
      <c r="U294" s="30">
        <v>0</v>
      </c>
      <c r="V294" s="30">
        <v>0</v>
      </c>
      <c r="W294" s="42">
        <v>0</v>
      </c>
      <c r="X294"/>
    </row>
    <row r="295" spans="1:24" ht="15" x14ac:dyDescent="0.25">
      <c r="A295" s="40"/>
      <c r="B295" s="40"/>
      <c r="C295" s="40"/>
      <c r="D295" s="63" t="s">
        <v>293</v>
      </c>
      <c r="E295" s="64"/>
      <c r="F295" s="64"/>
      <c r="G295" s="65">
        <v>314</v>
      </c>
      <c r="H295" s="66">
        <v>0</v>
      </c>
      <c r="I295" s="66">
        <v>0</v>
      </c>
      <c r="J295" s="66">
        <v>157</v>
      </c>
      <c r="K295" s="66">
        <v>0</v>
      </c>
      <c r="L295" s="66">
        <v>0</v>
      </c>
      <c r="M295" s="66">
        <v>157</v>
      </c>
      <c r="N295" s="66">
        <v>0</v>
      </c>
      <c r="O295" s="66">
        <v>0</v>
      </c>
      <c r="P295" s="66">
        <v>0</v>
      </c>
      <c r="Q295" s="66">
        <v>0</v>
      </c>
      <c r="R295" s="66">
        <v>0</v>
      </c>
      <c r="S295" s="66">
        <v>0</v>
      </c>
      <c r="T295" s="66">
        <v>0</v>
      </c>
      <c r="U295" s="66">
        <v>0</v>
      </c>
      <c r="V295" s="66">
        <v>314</v>
      </c>
      <c r="W295" s="67">
        <v>1</v>
      </c>
      <c r="X295"/>
    </row>
    <row r="296" spans="1:24" ht="15" x14ac:dyDescent="0.25">
      <c r="A296" s="40"/>
      <c r="B296" s="40"/>
      <c r="C296" s="40"/>
      <c r="D296" s="35" t="s">
        <v>189</v>
      </c>
      <c r="E296" s="35">
        <v>5835</v>
      </c>
      <c r="F296" s="35" t="s">
        <v>96</v>
      </c>
      <c r="G296" s="43">
        <v>0</v>
      </c>
      <c r="H296" s="44">
        <v>0</v>
      </c>
      <c r="I296" s="44">
        <v>0</v>
      </c>
      <c r="J296" s="44">
        <v>180</v>
      </c>
      <c r="K296" s="44">
        <v>0</v>
      </c>
      <c r="L296" s="44">
        <v>0</v>
      </c>
      <c r="M296" s="44">
        <v>180</v>
      </c>
      <c r="N296" s="44">
        <v>0</v>
      </c>
      <c r="O296" s="44">
        <v>0</v>
      </c>
      <c r="P296" s="44">
        <v>0</v>
      </c>
      <c r="Q296" s="44">
        <v>0</v>
      </c>
      <c r="R296" s="44">
        <v>0</v>
      </c>
      <c r="S296" s="44">
        <v>0</v>
      </c>
      <c r="T296" s="44">
        <v>0</v>
      </c>
      <c r="U296" s="44">
        <v>0</v>
      </c>
      <c r="V296" s="44">
        <v>360</v>
      </c>
      <c r="W296" s="39">
        <v>0</v>
      </c>
      <c r="X296"/>
    </row>
    <row r="297" spans="1:24" ht="15" x14ac:dyDescent="0.25">
      <c r="A297" s="40"/>
      <c r="B297" s="40"/>
      <c r="C297" s="40"/>
      <c r="D297" s="40"/>
      <c r="E297" s="40"/>
      <c r="F297" s="41" t="s">
        <v>71</v>
      </c>
      <c r="G297" s="45">
        <v>360</v>
      </c>
      <c r="H297" s="30">
        <v>0</v>
      </c>
      <c r="I297" s="30">
        <v>0</v>
      </c>
      <c r="J297" s="30">
        <v>0</v>
      </c>
      <c r="K297" s="30">
        <v>0</v>
      </c>
      <c r="L297" s="30">
        <v>0</v>
      </c>
      <c r="M297" s="30">
        <v>0</v>
      </c>
      <c r="N297" s="30">
        <v>0</v>
      </c>
      <c r="O297" s="30">
        <v>0</v>
      </c>
      <c r="P297" s="30">
        <v>0</v>
      </c>
      <c r="Q297" s="30">
        <v>0</v>
      </c>
      <c r="R297" s="30">
        <v>0</v>
      </c>
      <c r="S297" s="30">
        <v>0</v>
      </c>
      <c r="T297" s="30">
        <v>0</v>
      </c>
      <c r="U297" s="30">
        <v>0</v>
      </c>
      <c r="V297" s="30">
        <v>0</v>
      </c>
      <c r="W297" s="42">
        <v>0</v>
      </c>
      <c r="X297"/>
    </row>
    <row r="298" spans="1:24" ht="15" x14ac:dyDescent="0.25">
      <c r="A298" s="40"/>
      <c r="B298" s="40"/>
      <c r="C298" s="40"/>
      <c r="D298" s="63" t="s">
        <v>299</v>
      </c>
      <c r="E298" s="64"/>
      <c r="F298" s="64"/>
      <c r="G298" s="65">
        <v>360</v>
      </c>
      <c r="H298" s="66">
        <v>0</v>
      </c>
      <c r="I298" s="66">
        <v>0</v>
      </c>
      <c r="J298" s="66">
        <v>180</v>
      </c>
      <c r="K298" s="66">
        <v>0</v>
      </c>
      <c r="L298" s="66">
        <v>0</v>
      </c>
      <c r="M298" s="66">
        <v>180</v>
      </c>
      <c r="N298" s="66">
        <v>0</v>
      </c>
      <c r="O298" s="66">
        <v>0</v>
      </c>
      <c r="P298" s="66">
        <v>0</v>
      </c>
      <c r="Q298" s="66">
        <v>0</v>
      </c>
      <c r="R298" s="66">
        <v>0</v>
      </c>
      <c r="S298" s="66">
        <v>0</v>
      </c>
      <c r="T298" s="66">
        <v>0</v>
      </c>
      <c r="U298" s="66">
        <v>0</v>
      </c>
      <c r="V298" s="66">
        <v>360</v>
      </c>
      <c r="W298" s="67">
        <v>1</v>
      </c>
      <c r="X298"/>
    </row>
    <row r="299" spans="1:24" ht="15" x14ac:dyDescent="0.25">
      <c r="A299" s="40"/>
      <c r="B299" s="40"/>
      <c r="C299" s="40"/>
      <c r="D299" s="35" t="s">
        <v>191</v>
      </c>
      <c r="E299" s="35">
        <v>5624</v>
      </c>
      <c r="F299" s="35" t="s">
        <v>96</v>
      </c>
      <c r="G299" s="43">
        <v>0</v>
      </c>
      <c r="H299" s="44">
        <v>0</v>
      </c>
      <c r="I299" s="44">
        <v>0</v>
      </c>
      <c r="J299" s="44">
        <v>50</v>
      </c>
      <c r="K299" s="44">
        <v>0</v>
      </c>
      <c r="L299" s="44">
        <v>0</v>
      </c>
      <c r="M299" s="44">
        <v>50</v>
      </c>
      <c r="N299" s="44">
        <v>0</v>
      </c>
      <c r="O299" s="44">
        <v>0</v>
      </c>
      <c r="P299" s="44">
        <v>0</v>
      </c>
      <c r="Q299" s="44">
        <v>0</v>
      </c>
      <c r="R299" s="44">
        <v>0</v>
      </c>
      <c r="S299" s="44">
        <v>0</v>
      </c>
      <c r="T299" s="44">
        <v>0</v>
      </c>
      <c r="U299" s="44">
        <v>0</v>
      </c>
      <c r="V299" s="44">
        <v>100</v>
      </c>
      <c r="W299" s="39">
        <v>0</v>
      </c>
      <c r="X299"/>
    </row>
    <row r="300" spans="1:24" ht="15" x14ac:dyDescent="0.25">
      <c r="A300" s="40"/>
      <c r="B300" s="40"/>
      <c r="C300" s="40"/>
      <c r="D300" s="40"/>
      <c r="E300" s="40"/>
      <c r="F300" s="41" t="s">
        <v>71</v>
      </c>
      <c r="G300" s="45">
        <v>100</v>
      </c>
      <c r="H300" s="30">
        <v>0</v>
      </c>
      <c r="I300" s="30">
        <v>0</v>
      </c>
      <c r="J300" s="30">
        <v>0</v>
      </c>
      <c r="K300" s="30">
        <v>0</v>
      </c>
      <c r="L300" s="30">
        <v>0</v>
      </c>
      <c r="M300" s="30">
        <v>0</v>
      </c>
      <c r="N300" s="30">
        <v>0</v>
      </c>
      <c r="O300" s="30">
        <v>0</v>
      </c>
      <c r="P300" s="30">
        <v>0</v>
      </c>
      <c r="Q300" s="30">
        <v>0</v>
      </c>
      <c r="R300" s="30">
        <v>0</v>
      </c>
      <c r="S300" s="30">
        <v>0</v>
      </c>
      <c r="T300" s="30">
        <v>0</v>
      </c>
      <c r="U300" s="30">
        <v>0</v>
      </c>
      <c r="V300" s="30">
        <v>0</v>
      </c>
      <c r="W300" s="42">
        <v>0</v>
      </c>
      <c r="X300"/>
    </row>
    <row r="301" spans="1:24" ht="15" x14ac:dyDescent="0.25">
      <c r="A301" s="40"/>
      <c r="B301" s="40"/>
      <c r="C301" s="40"/>
      <c r="D301" s="63" t="s">
        <v>298</v>
      </c>
      <c r="E301" s="64"/>
      <c r="F301" s="64"/>
      <c r="G301" s="65">
        <v>100</v>
      </c>
      <c r="H301" s="66">
        <v>0</v>
      </c>
      <c r="I301" s="66">
        <v>0</v>
      </c>
      <c r="J301" s="66">
        <v>50</v>
      </c>
      <c r="K301" s="66">
        <v>0</v>
      </c>
      <c r="L301" s="66">
        <v>0</v>
      </c>
      <c r="M301" s="66">
        <v>50</v>
      </c>
      <c r="N301" s="66">
        <v>0</v>
      </c>
      <c r="O301" s="66">
        <v>0</v>
      </c>
      <c r="P301" s="66">
        <v>0</v>
      </c>
      <c r="Q301" s="66">
        <v>0</v>
      </c>
      <c r="R301" s="66">
        <v>0</v>
      </c>
      <c r="S301" s="66">
        <v>0</v>
      </c>
      <c r="T301" s="66">
        <v>0</v>
      </c>
      <c r="U301" s="66">
        <v>0</v>
      </c>
      <c r="V301" s="66">
        <v>100</v>
      </c>
      <c r="W301" s="67">
        <v>1</v>
      </c>
      <c r="X301"/>
    </row>
    <row r="302" spans="1:24" ht="15" x14ac:dyDescent="0.25">
      <c r="A302" s="40"/>
      <c r="B302" s="40"/>
      <c r="C302" s="40"/>
      <c r="D302" s="35" t="s">
        <v>194</v>
      </c>
      <c r="E302" s="35">
        <v>5613</v>
      </c>
      <c r="F302" s="35" t="s">
        <v>83</v>
      </c>
      <c r="G302" s="43">
        <v>0</v>
      </c>
      <c r="H302" s="44">
        <v>0</v>
      </c>
      <c r="I302" s="44">
        <v>0</v>
      </c>
      <c r="J302" s="44">
        <v>0</v>
      </c>
      <c r="K302" s="44">
        <v>0</v>
      </c>
      <c r="L302" s="44">
        <v>0</v>
      </c>
      <c r="M302" s="44">
        <v>0</v>
      </c>
      <c r="N302" s="44">
        <v>125</v>
      </c>
      <c r="O302" s="44">
        <v>0</v>
      </c>
      <c r="P302" s="44">
        <v>0</v>
      </c>
      <c r="Q302" s="44">
        <v>0</v>
      </c>
      <c r="R302" s="44">
        <v>0</v>
      </c>
      <c r="S302" s="44">
        <v>0</v>
      </c>
      <c r="T302" s="44">
        <v>0</v>
      </c>
      <c r="U302" s="44">
        <v>0</v>
      </c>
      <c r="V302" s="44">
        <v>125</v>
      </c>
      <c r="W302" s="39">
        <v>0</v>
      </c>
      <c r="X302"/>
    </row>
    <row r="303" spans="1:24" ht="15" x14ac:dyDescent="0.25">
      <c r="A303" s="40"/>
      <c r="B303" s="40"/>
      <c r="C303" s="40"/>
      <c r="D303" s="40"/>
      <c r="E303" s="40"/>
      <c r="F303" s="41" t="s">
        <v>96</v>
      </c>
      <c r="G303" s="45">
        <v>0</v>
      </c>
      <c r="H303" s="30">
        <v>0</v>
      </c>
      <c r="I303" s="30">
        <v>0</v>
      </c>
      <c r="J303" s="30">
        <v>45</v>
      </c>
      <c r="K303" s="30">
        <v>0</v>
      </c>
      <c r="L303" s="30">
        <v>0</v>
      </c>
      <c r="M303" s="30">
        <v>45</v>
      </c>
      <c r="N303" s="30">
        <v>0</v>
      </c>
      <c r="O303" s="30">
        <v>0</v>
      </c>
      <c r="P303" s="30">
        <v>0</v>
      </c>
      <c r="Q303" s="30">
        <v>0</v>
      </c>
      <c r="R303" s="30">
        <v>0</v>
      </c>
      <c r="S303" s="30">
        <v>0</v>
      </c>
      <c r="T303" s="30">
        <v>0</v>
      </c>
      <c r="U303" s="30">
        <v>0</v>
      </c>
      <c r="V303" s="30">
        <v>90</v>
      </c>
      <c r="W303" s="42">
        <v>0</v>
      </c>
      <c r="X303"/>
    </row>
    <row r="304" spans="1:24" ht="15" x14ac:dyDescent="0.25">
      <c r="A304" s="40"/>
      <c r="B304" s="40"/>
      <c r="C304" s="40"/>
      <c r="D304" s="40"/>
      <c r="E304" s="40"/>
      <c r="F304" s="41" t="s">
        <v>114</v>
      </c>
      <c r="G304" s="45">
        <v>0</v>
      </c>
      <c r="H304" s="30">
        <v>0</v>
      </c>
      <c r="I304" s="30">
        <v>0</v>
      </c>
      <c r="J304" s="30">
        <v>125</v>
      </c>
      <c r="K304" s="30">
        <v>0</v>
      </c>
      <c r="L304" s="30">
        <v>0</v>
      </c>
      <c r="M304" s="30">
        <v>125</v>
      </c>
      <c r="N304" s="30">
        <v>0</v>
      </c>
      <c r="O304" s="30">
        <v>0</v>
      </c>
      <c r="P304" s="30">
        <v>0</v>
      </c>
      <c r="Q304" s="30">
        <v>0</v>
      </c>
      <c r="R304" s="30">
        <v>0</v>
      </c>
      <c r="S304" s="30">
        <v>0</v>
      </c>
      <c r="T304" s="30">
        <v>0</v>
      </c>
      <c r="U304" s="30">
        <v>0</v>
      </c>
      <c r="V304" s="30">
        <v>250</v>
      </c>
      <c r="W304" s="42">
        <v>0</v>
      </c>
      <c r="X304"/>
    </row>
    <row r="305" spans="1:24" ht="15" x14ac:dyDescent="0.25">
      <c r="A305" s="40"/>
      <c r="B305" s="40"/>
      <c r="C305" s="40"/>
      <c r="D305" s="40"/>
      <c r="E305" s="40"/>
      <c r="F305" s="41" t="s">
        <v>71</v>
      </c>
      <c r="G305" s="45">
        <v>865</v>
      </c>
      <c r="H305" s="30">
        <v>0</v>
      </c>
      <c r="I305" s="30">
        <v>0</v>
      </c>
      <c r="J305" s="30">
        <v>63</v>
      </c>
      <c r="K305" s="30">
        <v>0</v>
      </c>
      <c r="L305" s="30">
        <v>0</v>
      </c>
      <c r="M305" s="30">
        <v>62</v>
      </c>
      <c r="N305" s="30">
        <v>-125</v>
      </c>
      <c r="O305" s="30">
        <v>0</v>
      </c>
      <c r="P305" s="30">
        <v>0</v>
      </c>
      <c r="Q305" s="30">
        <v>0</v>
      </c>
      <c r="R305" s="30">
        <v>0</v>
      </c>
      <c r="S305" s="30">
        <v>0</v>
      </c>
      <c r="T305" s="30">
        <v>0</v>
      </c>
      <c r="U305" s="30">
        <v>0</v>
      </c>
      <c r="V305" s="30">
        <v>0</v>
      </c>
      <c r="W305" s="42">
        <v>0</v>
      </c>
      <c r="X305"/>
    </row>
    <row r="306" spans="1:24" ht="15" x14ac:dyDescent="0.25">
      <c r="A306" s="40"/>
      <c r="B306" s="40"/>
      <c r="C306" s="40"/>
      <c r="D306" s="40"/>
      <c r="E306" s="40"/>
      <c r="F306" s="41" t="s">
        <v>115</v>
      </c>
      <c r="G306" s="45">
        <v>0</v>
      </c>
      <c r="H306" s="30">
        <v>0</v>
      </c>
      <c r="I306" s="30">
        <v>0</v>
      </c>
      <c r="J306" s="30">
        <v>200</v>
      </c>
      <c r="K306" s="30">
        <v>0</v>
      </c>
      <c r="L306" s="30">
        <v>0</v>
      </c>
      <c r="M306" s="30">
        <v>200</v>
      </c>
      <c r="N306" s="30">
        <v>0</v>
      </c>
      <c r="O306" s="30">
        <v>0</v>
      </c>
      <c r="P306" s="30">
        <v>0</v>
      </c>
      <c r="Q306" s="30">
        <v>0</v>
      </c>
      <c r="R306" s="30">
        <v>0</v>
      </c>
      <c r="S306" s="30">
        <v>0</v>
      </c>
      <c r="T306" s="30">
        <v>0</v>
      </c>
      <c r="U306" s="30">
        <v>0</v>
      </c>
      <c r="V306" s="30">
        <v>400</v>
      </c>
      <c r="W306" s="42">
        <v>0</v>
      </c>
      <c r="X306"/>
    </row>
    <row r="307" spans="1:24" ht="15" x14ac:dyDescent="0.25">
      <c r="A307" s="40"/>
      <c r="B307" s="40"/>
      <c r="C307" s="40"/>
      <c r="D307" s="63" t="s">
        <v>291</v>
      </c>
      <c r="E307" s="64"/>
      <c r="F307" s="64"/>
      <c r="G307" s="65">
        <v>865</v>
      </c>
      <c r="H307" s="66">
        <v>0</v>
      </c>
      <c r="I307" s="66">
        <v>0</v>
      </c>
      <c r="J307" s="66">
        <v>433</v>
      </c>
      <c r="K307" s="66">
        <v>0</v>
      </c>
      <c r="L307" s="66">
        <v>0</v>
      </c>
      <c r="M307" s="66">
        <v>432</v>
      </c>
      <c r="N307" s="66">
        <v>0</v>
      </c>
      <c r="O307" s="66">
        <v>0</v>
      </c>
      <c r="P307" s="66">
        <v>0</v>
      </c>
      <c r="Q307" s="66">
        <v>0</v>
      </c>
      <c r="R307" s="66">
        <v>0</v>
      </c>
      <c r="S307" s="66">
        <v>0</v>
      </c>
      <c r="T307" s="66">
        <v>0</v>
      </c>
      <c r="U307" s="66">
        <v>0</v>
      </c>
      <c r="V307" s="66">
        <v>865</v>
      </c>
      <c r="W307" s="67">
        <v>1</v>
      </c>
      <c r="X307"/>
    </row>
    <row r="308" spans="1:24" ht="15" x14ac:dyDescent="0.25">
      <c r="A308" s="40"/>
      <c r="B308" s="40"/>
      <c r="C308" s="40"/>
      <c r="D308" s="35" t="s">
        <v>200</v>
      </c>
      <c r="E308" s="35">
        <v>6013</v>
      </c>
      <c r="F308" s="35" t="s">
        <v>96</v>
      </c>
      <c r="G308" s="43">
        <v>0</v>
      </c>
      <c r="H308" s="44">
        <v>0</v>
      </c>
      <c r="I308" s="44">
        <v>0</v>
      </c>
      <c r="J308" s="44">
        <v>83</v>
      </c>
      <c r="K308" s="44">
        <v>0</v>
      </c>
      <c r="L308" s="44">
        <v>0</v>
      </c>
      <c r="M308" s="44">
        <v>82</v>
      </c>
      <c r="N308" s="44">
        <v>0</v>
      </c>
      <c r="O308" s="44">
        <v>0</v>
      </c>
      <c r="P308" s="44">
        <v>0</v>
      </c>
      <c r="Q308" s="44">
        <v>0</v>
      </c>
      <c r="R308" s="44">
        <v>0</v>
      </c>
      <c r="S308" s="44">
        <v>0</v>
      </c>
      <c r="T308" s="44">
        <v>0</v>
      </c>
      <c r="U308" s="44">
        <v>0</v>
      </c>
      <c r="V308" s="44">
        <v>165</v>
      </c>
      <c r="W308" s="39">
        <v>0</v>
      </c>
      <c r="X308"/>
    </row>
    <row r="309" spans="1:24" ht="15" x14ac:dyDescent="0.25">
      <c r="A309" s="40"/>
      <c r="B309" s="40"/>
      <c r="C309" s="40"/>
      <c r="D309" s="40"/>
      <c r="E309" s="40"/>
      <c r="F309" s="41" t="s">
        <v>71</v>
      </c>
      <c r="G309" s="45">
        <v>165</v>
      </c>
      <c r="H309" s="30">
        <v>0</v>
      </c>
      <c r="I309" s="30">
        <v>0</v>
      </c>
      <c r="J309" s="30">
        <v>0</v>
      </c>
      <c r="K309" s="30">
        <v>0</v>
      </c>
      <c r="L309" s="30">
        <v>0</v>
      </c>
      <c r="M309" s="30">
        <v>0</v>
      </c>
      <c r="N309" s="30">
        <v>0</v>
      </c>
      <c r="O309" s="30">
        <v>0</v>
      </c>
      <c r="P309" s="30">
        <v>0</v>
      </c>
      <c r="Q309" s="30">
        <v>0</v>
      </c>
      <c r="R309" s="30">
        <v>0</v>
      </c>
      <c r="S309" s="30">
        <v>0</v>
      </c>
      <c r="T309" s="30">
        <v>0</v>
      </c>
      <c r="U309" s="30">
        <v>0</v>
      </c>
      <c r="V309" s="30">
        <v>0</v>
      </c>
      <c r="W309" s="42">
        <v>0</v>
      </c>
      <c r="X309"/>
    </row>
    <row r="310" spans="1:24" ht="15" x14ac:dyDescent="0.25">
      <c r="A310" s="40"/>
      <c r="B310" s="40"/>
      <c r="C310" s="40"/>
      <c r="D310" s="63" t="s">
        <v>304</v>
      </c>
      <c r="E310" s="64"/>
      <c r="F310" s="64"/>
      <c r="G310" s="65">
        <v>165</v>
      </c>
      <c r="H310" s="66">
        <v>0</v>
      </c>
      <c r="I310" s="66">
        <v>0</v>
      </c>
      <c r="J310" s="66">
        <v>83</v>
      </c>
      <c r="K310" s="66">
        <v>0</v>
      </c>
      <c r="L310" s="66">
        <v>0</v>
      </c>
      <c r="M310" s="66">
        <v>82</v>
      </c>
      <c r="N310" s="66">
        <v>0</v>
      </c>
      <c r="O310" s="66">
        <v>0</v>
      </c>
      <c r="P310" s="66">
        <v>0</v>
      </c>
      <c r="Q310" s="66">
        <v>0</v>
      </c>
      <c r="R310" s="66">
        <v>0</v>
      </c>
      <c r="S310" s="66">
        <v>0</v>
      </c>
      <c r="T310" s="66">
        <v>0</v>
      </c>
      <c r="U310" s="66">
        <v>0</v>
      </c>
      <c r="V310" s="66">
        <v>165</v>
      </c>
      <c r="W310" s="67">
        <v>1</v>
      </c>
      <c r="X310"/>
    </row>
    <row r="311" spans="1:24" ht="15" x14ac:dyDescent="0.25">
      <c r="A311" s="40"/>
      <c r="B311" s="40"/>
      <c r="C311" s="40"/>
      <c r="D311" s="35" t="s">
        <v>212</v>
      </c>
      <c r="E311" s="35">
        <v>5632</v>
      </c>
      <c r="F311" s="35" t="s">
        <v>83</v>
      </c>
      <c r="G311" s="43">
        <v>0</v>
      </c>
      <c r="H311" s="44">
        <v>0</v>
      </c>
      <c r="I311" s="44">
        <v>0</v>
      </c>
      <c r="J311" s="44">
        <v>0</v>
      </c>
      <c r="K311" s="44">
        <v>0</v>
      </c>
      <c r="L311" s="44">
        <v>0</v>
      </c>
      <c r="M311" s="44">
        <v>0</v>
      </c>
      <c r="N311" s="44">
        <v>45</v>
      </c>
      <c r="O311" s="44">
        <v>0</v>
      </c>
      <c r="P311" s="44">
        <v>0</v>
      </c>
      <c r="Q311" s="44">
        <v>0</v>
      </c>
      <c r="R311" s="44">
        <v>0</v>
      </c>
      <c r="S311" s="44">
        <v>0</v>
      </c>
      <c r="T311" s="44">
        <v>0</v>
      </c>
      <c r="U311" s="44">
        <v>0</v>
      </c>
      <c r="V311" s="44">
        <v>45</v>
      </c>
      <c r="W311" s="39">
        <v>0</v>
      </c>
      <c r="X311"/>
    </row>
    <row r="312" spans="1:24" ht="15" x14ac:dyDescent="0.25">
      <c r="A312" s="40"/>
      <c r="B312" s="40"/>
      <c r="C312" s="40"/>
      <c r="D312" s="40"/>
      <c r="E312" s="40"/>
      <c r="F312" s="41" t="s">
        <v>96</v>
      </c>
      <c r="G312" s="45">
        <v>0</v>
      </c>
      <c r="H312" s="30">
        <v>0</v>
      </c>
      <c r="I312" s="30">
        <v>0</v>
      </c>
      <c r="J312" s="30">
        <v>50</v>
      </c>
      <c r="K312" s="30">
        <v>0</v>
      </c>
      <c r="L312" s="30">
        <v>0</v>
      </c>
      <c r="M312" s="30">
        <v>50</v>
      </c>
      <c r="N312" s="30">
        <v>0</v>
      </c>
      <c r="O312" s="30">
        <v>0</v>
      </c>
      <c r="P312" s="30">
        <v>0</v>
      </c>
      <c r="Q312" s="30">
        <v>0</v>
      </c>
      <c r="R312" s="30">
        <v>0</v>
      </c>
      <c r="S312" s="30">
        <v>0</v>
      </c>
      <c r="T312" s="30">
        <v>0</v>
      </c>
      <c r="U312" s="30">
        <v>0</v>
      </c>
      <c r="V312" s="30">
        <v>100</v>
      </c>
      <c r="W312" s="42">
        <v>0</v>
      </c>
      <c r="X312"/>
    </row>
    <row r="313" spans="1:24" ht="15" x14ac:dyDescent="0.25">
      <c r="A313" s="40"/>
      <c r="B313" s="40"/>
      <c r="C313" s="40"/>
      <c r="D313" s="40"/>
      <c r="E313" s="40"/>
      <c r="F313" s="41" t="s">
        <v>71</v>
      </c>
      <c r="G313" s="45">
        <v>145</v>
      </c>
      <c r="H313" s="30">
        <v>0</v>
      </c>
      <c r="I313" s="30">
        <v>0</v>
      </c>
      <c r="J313" s="30">
        <v>23</v>
      </c>
      <c r="K313" s="30">
        <v>0</v>
      </c>
      <c r="L313" s="30">
        <v>0</v>
      </c>
      <c r="M313" s="30">
        <v>22</v>
      </c>
      <c r="N313" s="30">
        <v>-45</v>
      </c>
      <c r="O313" s="30">
        <v>0</v>
      </c>
      <c r="P313" s="30">
        <v>0</v>
      </c>
      <c r="Q313" s="30">
        <v>0</v>
      </c>
      <c r="R313" s="30">
        <v>0</v>
      </c>
      <c r="S313" s="30">
        <v>0</v>
      </c>
      <c r="T313" s="30">
        <v>0</v>
      </c>
      <c r="U313" s="30">
        <v>0</v>
      </c>
      <c r="V313" s="30">
        <v>0</v>
      </c>
      <c r="W313" s="42">
        <v>0</v>
      </c>
      <c r="X313"/>
    </row>
    <row r="314" spans="1:24" ht="15" x14ac:dyDescent="0.25">
      <c r="A314" s="40"/>
      <c r="B314" s="40"/>
      <c r="C314" s="40"/>
      <c r="D314" s="63" t="s">
        <v>307</v>
      </c>
      <c r="E314" s="64"/>
      <c r="F314" s="64"/>
      <c r="G314" s="65">
        <v>145</v>
      </c>
      <c r="H314" s="66">
        <v>0</v>
      </c>
      <c r="I314" s="66">
        <v>0</v>
      </c>
      <c r="J314" s="66">
        <v>73</v>
      </c>
      <c r="K314" s="66">
        <v>0</v>
      </c>
      <c r="L314" s="66">
        <v>0</v>
      </c>
      <c r="M314" s="66">
        <v>72</v>
      </c>
      <c r="N314" s="66">
        <v>0</v>
      </c>
      <c r="O314" s="66">
        <v>0</v>
      </c>
      <c r="P314" s="66">
        <v>0</v>
      </c>
      <c r="Q314" s="66">
        <v>0</v>
      </c>
      <c r="R314" s="66">
        <v>0</v>
      </c>
      <c r="S314" s="66">
        <v>0</v>
      </c>
      <c r="T314" s="66">
        <v>0</v>
      </c>
      <c r="U314" s="66">
        <v>0</v>
      </c>
      <c r="V314" s="66">
        <v>145</v>
      </c>
      <c r="W314" s="67">
        <v>1</v>
      </c>
      <c r="X314"/>
    </row>
    <row r="315" spans="1:24" ht="15" x14ac:dyDescent="0.25">
      <c r="A315" s="40"/>
      <c r="B315" s="40"/>
      <c r="C315" s="40"/>
      <c r="D315" s="35" t="s">
        <v>219</v>
      </c>
      <c r="E315" s="35">
        <v>5628</v>
      </c>
      <c r="F315" s="35" t="s">
        <v>71</v>
      </c>
      <c r="G315" s="43">
        <v>314</v>
      </c>
      <c r="H315" s="44">
        <v>0</v>
      </c>
      <c r="I315" s="44">
        <v>0</v>
      </c>
      <c r="J315" s="44">
        <v>0</v>
      </c>
      <c r="K315" s="44">
        <v>0</v>
      </c>
      <c r="L315" s="44">
        <v>0</v>
      </c>
      <c r="M315" s="44">
        <v>0</v>
      </c>
      <c r="N315" s="44">
        <v>0</v>
      </c>
      <c r="O315" s="44">
        <v>0</v>
      </c>
      <c r="P315" s="44">
        <v>0</v>
      </c>
      <c r="Q315" s="44">
        <v>0</v>
      </c>
      <c r="R315" s="44">
        <v>0</v>
      </c>
      <c r="S315" s="44">
        <v>0</v>
      </c>
      <c r="T315" s="44">
        <v>0</v>
      </c>
      <c r="U315" s="44">
        <v>0</v>
      </c>
      <c r="V315" s="44">
        <v>0</v>
      </c>
      <c r="W315" s="39">
        <v>0</v>
      </c>
      <c r="X315"/>
    </row>
    <row r="316" spans="1:24" ht="15" x14ac:dyDescent="0.25">
      <c r="A316" s="40"/>
      <c r="B316" s="40"/>
      <c r="C316" s="40"/>
      <c r="D316" s="63" t="s">
        <v>294</v>
      </c>
      <c r="E316" s="64"/>
      <c r="F316" s="64"/>
      <c r="G316" s="65">
        <v>314</v>
      </c>
      <c r="H316" s="66">
        <v>0</v>
      </c>
      <c r="I316" s="66">
        <v>0</v>
      </c>
      <c r="J316" s="66">
        <v>0</v>
      </c>
      <c r="K316" s="66">
        <v>0</v>
      </c>
      <c r="L316" s="66">
        <v>0</v>
      </c>
      <c r="M316" s="66">
        <v>0</v>
      </c>
      <c r="N316" s="66">
        <v>0</v>
      </c>
      <c r="O316" s="66">
        <v>0</v>
      </c>
      <c r="P316" s="66">
        <v>0</v>
      </c>
      <c r="Q316" s="66">
        <v>0</v>
      </c>
      <c r="R316" s="66">
        <v>0</v>
      </c>
      <c r="S316" s="66">
        <v>0</v>
      </c>
      <c r="T316" s="66">
        <v>0</v>
      </c>
      <c r="U316" s="66">
        <v>0</v>
      </c>
      <c r="V316" s="66">
        <v>0</v>
      </c>
      <c r="W316" s="67">
        <v>0</v>
      </c>
      <c r="X316"/>
    </row>
    <row r="317" spans="1:24" ht="15" x14ac:dyDescent="0.25">
      <c r="A317" s="40"/>
      <c r="B317" s="40"/>
      <c r="C317" s="40"/>
      <c r="D317" s="35" t="s">
        <v>221</v>
      </c>
      <c r="E317" s="35">
        <v>5452</v>
      </c>
      <c r="F317" s="35" t="s">
        <v>96</v>
      </c>
      <c r="G317" s="43">
        <v>0</v>
      </c>
      <c r="H317" s="44">
        <v>0</v>
      </c>
      <c r="I317" s="44">
        <v>0</v>
      </c>
      <c r="J317" s="44">
        <v>450</v>
      </c>
      <c r="K317" s="44">
        <v>0</v>
      </c>
      <c r="L317" s="44">
        <v>0</v>
      </c>
      <c r="M317" s="44">
        <v>450</v>
      </c>
      <c r="N317" s="44">
        <v>0</v>
      </c>
      <c r="O317" s="44">
        <v>0</v>
      </c>
      <c r="P317" s="44">
        <v>0</v>
      </c>
      <c r="Q317" s="44">
        <v>0</v>
      </c>
      <c r="R317" s="44">
        <v>0</v>
      </c>
      <c r="S317" s="44">
        <v>0</v>
      </c>
      <c r="T317" s="44">
        <v>0</v>
      </c>
      <c r="U317" s="44">
        <v>0</v>
      </c>
      <c r="V317" s="44">
        <v>900</v>
      </c>
      <c r="W317" s="39">
        <v>0</v>
      </c>
      <c r="X317"/>
    </row>
    <row r="318" spans="1:24" ht="15" x14ac:dyDescent="0.25">
      <c r="A318" s="40"/>
      <c r="B318" s="40"/>
      <c r="C318" s="40"/>
      <c r="D318" s="40"/>
      <c r="E318" s="40"/>
      <c r="F318" s="41" t="s">
        <v>114</v>
      </c>
      <c r="G318" s="45">
        <v>0</v>
      </c>
      <c r="H318" s="30">
        <v>0</v>
      </c>
      <c r="I318" s="30">
        <v>0</v>
      </c>
      <c r="J318" s="30">
        <v>5</v>
      </c>
      <c r="K318" s="30">
        <v>0</v>
      </c>
      <c r="L318" s="30">
        <v>0</v>
      </c>
      <c r="M318" s="30">
        <v>4</v>
      </c>
      <c r="N318" s="30">
        <v>0</v>
      </c>
      <c r="O318" s="30">
        <v>0</v>
      </c>
      <c r="P318" s="30">
        <v>0</v>
      </c>
      <c r="Q318" s="30">
        <v>0</v>
      </c>
      <c r="R318" s="30">
        <v>0</v>
      </c>
      <c r="S318" s="30">
        <v>0</v>
      </c>
      <c r="T318" s="30">
        <v>0</v>
      </c>
      <c r="U318" s="30">
        <v>0</v>
      </c>
      <c r="V318" s="30">
        <v>9</v>
      </c>
      <c r="W318" s="42">
        <v>0</v>
      </c>
      <c r="X318"/>
    </row>
    <row r="319" spans="1:24" ht="15" x14ac:dyDescent="0.25">
      <c r="A319" s="40"/>
      <c r="B319" s="40"/>
      <c r="C319" s="40"/>
      <c r="D319" s="40"/>
      <c r="E319" s="40"/>
      <c r="F319" s="41" t="s">
        <v>71</v>
      </c>
      <c r="G319" s="45">
        <v>909</v>
      </c>
      <c r="H319" s="30">
        <v>0</v>
      </c>
      <c r="I319" s="30">
        <v>0</v>
      </c>
      <c r="J319" s="30">
        <v>0</v>
      </c>
      <c r="K319" s="30">
        <v>0</v>
      </c>
      <c r="L319" s="30">
        <v>0</v>
      </c>
      <c r="M319" s="30">
        <v>0</v>
      </c>
      <c r="N319" s="30">
        <v>0</v>
      </c>
      <c r="O319" s="30">
        <v>0</v>
      </c>
      <c r="P319" s="30">
        <v>0</v>
      </c>
      <c r="Q319" s="30">
        <v>0</v>
      </c>
      <c r="R319" s="30">
        <v>0</v>
      </c>
      <c r="S319" s="30">
        <v>0</v>
      </c>
      <c r="T319" s="30">
        <v>0</v>
      </c>
      <c r="U319" s="30">
        <v>0</v>
      </c>
      <c r="V319" s="30">
        <v>0</v>
      </c>
      <c r="W319" s="42">
        <v>0</v>
      </c>
      <c r="X319"/>
    </row>
    <row r="320" spans="1:24" ht="15" x14ac:dyDescent="0.25">
      <c r="A320" s="40"/>
      <c r="B320" s="40"/>
      <c r="C320" s="40"/>
      <c r="D320" s="63" t="s">
        <v>297</v>
      </c>
      <c r="E320" s="64"/>
      <c r="F320" s="64"/>
      <c r="G320" s="65">
        <v>909</v>
      </c>
      <c r="H320" s="66">
        <v>0</v>
      </c>
      <c r="I320" s="66">
        <v>0</v>
      </c>
      <c r="J320" s="66">
        <v>455</v>
      </c>
      <c r="K320" s="66">
        <v>0</v>
      </c>
      <c r="L320" s="66">
        <v>0</v>
      </c>
      <c r="M320" s="66">
        <v>454</v>
      </c>
      <c r="N320" s="66">
        <v>0</v>
      </c>
      <c r="O320" s="66">
        <v>0</v>
      </c>
      <c r="P320" s="66">
        <v>0</v>
      </c>
      <c r="Q320" s="66">
        <v>0</v>
      </c>
      <c r="R320" s="66">
        <v>0</v>
      </c>
      <c r="S320" s="66">
        <v>0</v>
      </c>
      <c r="T320" s="66">
        <v>0</v>
      </c>
      <c r="U320" s="66">
        <v>0</v>
      </c>
      <c r="V320" s="66">
        <v>909</v>
      </c>
      <c r="W320" s="67">
        <v>1</v>
      </c>
      <c r="X320"/>
    </row>
    <row r="321" spans="1:24" ht="15" x14ac:dyDescent="0.25">
      <c r="A321" s="40"/>
      <c r="B321" s="35" t="s">
        <v>178</v>
      </c>
      <c r="C321" s="35" t="s">
        <v>178</v>
      </c>
      <c r="D321" s="35" t="s">
        <v>194</v>
      </c>
      <c r="E321" s="35">
        <v>5613</v>
      </c>
      <c r="F321" s="35" t="s">
        <v>83</v>
      </c>
      <c r="G321" s="43">
        <v>0</v>
      </c>
      <c r="H321" s="44">
        <v>0</v>
      </c>
      <c r="I321" s="44">
        <v>0</v>
      </c>
      <c r="J321" s="44">
        <v>0</v>
      </c>
      <c r="K321" s="44">
        <v>0</v>
      </c>
      <c r="L321" s="44">
        <v>0</v>
      </c>
      <c r="M321" s="44">
        <v>0</v>
      </c>
      <c r="N321" s="44">
        <v>0</v>
      </c>
      <c r="O321" s="44">
        <v>0</v>
      </c>
      <c r="P321" s="44">
        <v>0</v>
      </c>
      <c r="Q321" s="44">
        <v>0</v>
      </c>
      <c r="R321" s="44">
        <v>456</v>
      </c>
      <c r="S321" s="44">
        <v>0</v>
      </c>
      <c r="T321" s="44">
        <v>0</v>
      </c>
      <c r="U321" s="44">
        <v>0</v>
      </c>
      <c r="V321" s="44">
        <v>456</v>
      </c>
      <c r="W321" s="39">
        <v>0</v>
      </c>
      <c r="X321"/>
    </row>
    <row r="322" spans="1:24" ht="15" x14ac:dyDescent="0.25">
      <c r="A322" s="40"/>
      <c r="B322" s="40"/>
      <c r="C322" s="40"/>
      <c r="D322" s="40"/>
      <c r="E322" s="40"/>
      <c r="F322" s="41" t="s">
        <v>96</v>
      </c>
      <c r="G322" s="45">
        <v>0</v>
      </c>
      <c r="H322" s="30">
        <v>0</v>
      </c>
      <c r="I322" s="30">
        <v>0</v>
      </c>
      <c r="J322" s="30">
        <v>0</v>
      </c>
      <c r="K322" s="30">
        <v>0</v>
      </c>
      <c r="L322" s="30">
        <v>0</v>
      </c>
      <c r="M322" s="30">
        <v>0</v>
      </c>
      <c r="N322" s="30">
        <v>0</v>
      </c>
      <c r="O322" s="30">
        <v>0</v>
      </c>
      <c r="P322" s="30">
        <v>0</v>
      </c>
      <c r="Q322" s="30">
        <v>0</v>
      </c>
      <c r="R322" s="30">
        <v>150</v>
      </c>
      <c r="S322" s="30">
        <v>0</v>
      </c>
      <c r="T322" s="30">
        <v>0</v>
      </c>
      <c r="U322" s="30">
        <v>0</v>
      </c>
      <c r="V322" s="30">
        <v>150</v>
      </c>
      <c r="W322" s="42">
        <v>0</v>
      </c>
      <c r="X322"/>
    </row>
    <row r="323" spans="1:24" ht="15" x14ac:dyDescent="0.25">
      <c r="A323" s="40"/>
      <c r="B323" s="40"/>
      <c r="C323" s="40"/>
      <c r="D323" s="40"/>
      <c r="E323" s="40"/>
      <c r="F323" s="41" t="s">
        <v>114</v>
      </c>
      <c r="G323" s="45">
        <v>0</v>
      </c>
      <c r="H323" s="30">
        <v>0</v>
      </c>
      <c r="I323" s="30">
        <v>0</v>
      </c>
      <c r="J323" s="30">
        <v>0</v>
      </c>
      <c r="K323" s="30">
        <v>0</v>
      </c>
      <c r="L323" s="30">
        <v>0</v>
      </c>
      <c r="M323" s="30">
        <v>0</v>
      </c>
      <c r="N323" s="30">
        <v>0</v>
      </c>
      <c r="O323" s="30">
        <v>0</v>
      </c>
      <c r="P323" s="30">
        <v>0</v>
      </c>
      <c r="Q323" s="30">
        <v>0</v>
      </c>
      <c r="R323" s="30">
        <v>400</v>
      </c>
      <c r="S323" s="30">
        <v>0</v>
      </c>
      <c r="T323" s="30">
        <v>0</v>
      </c>
      <c r="U323" s="30">
        <v>0</v>
      </c>
      <c r="V323" s="30">
        <v>400</v>
      </c>
      <c r="W323" s="42">
        <v>0</v>
      </c>
      <c r="X323"/>
    </row>
    <row r="324" spans="1:24" ht="15" x14ac:dyDescent="0.25">
      <c r="A324" s="40"/>
      <c r="B324" s="40"/>
      <c r="C324" s="40"/>
      <c r="D324" s="40"/>
      <c r="E324" s="40"/>
      <c r="F324" s="41" t="s">
        <v>71</v>
      </c>
      <c r="G324" s="45">
        <v>2006</v>
      </c>
      <c r="H324" s="30">
        <v>0</v>
      </c>
      <c r="I324" s="30">
        <v>0</v>
      </c>
      <c r="J324" s="30">
        <v>0</v>
      </c>
      <c r="K324" s="30">
        <v>0</v>
      </c>
      <c r="L324" s="30">
        <v>0</v>
      </c>
      <c r="M324" s="30">
        <v>0</v>
      </c>
      <c r="N324" s="30">
        <v>0</v>
      </c>
      <c r="O324" s="30">
        <v>0</v>
      </c>
      <c r="P324" s="30">
        <v>0</v>
      </c>
      <c r="Q324" s="30">
        <v>0</v>
      </c>
      <c r="R324" s="30">
        <v>0</v>
      </c>
      <c r="S324" s="30">
        <v>0</v>
      </c>
      <c r="T324" s="30">
        <v>0</v>
      </c>
      <c r="U324" s="30">
        <v>0</v>
      </c>
      <c r="V324" s="30">
        <v>0</v>
      </c>
      <c r="W324" s="42">
        <v>0</v>
      </c>
      <c r="X324"/>
    </row>
    <row r="325" spans="1:24" ht="15" x14ac:dyDescent="0.25">
      <c r="A325" s="40"/>
      <c r="B325" s="40"/>
      <c r="C325" s="40"/>
      <c r="D325" s="40"/>
      <c r="E325" s="40"/>
      <c r="F325" s="41" t="s">
        <v>115</v>
      </c>
      <c r="G325" s="45">
        <v>0</v>
      </c>
      <c r="H325" s="30">
        <v>0</v>
      </c>
      <c r="I325" s="30">
        <v>0</v>
      </c>
      <c r="J325" s="30">
        <v>0</v>
      </c>
      <c r="K325" s="30">
        <v>0</v>
      </c>
      <c r="L325" s="30">
        <v>0</v>
      </c>
      <c r="M325" s="30">
        <v>0</v>
      </c>
      <c r="N325" s="30">
        <v>0</v>
      </c>
      <c r="O325" s="30">
        <v>0</v>
      </c>
      <c r="P325" s="30">
        <v>0</v>
      </c>
      <c r="Q325" s="30">
        <v>0</v>
      </c>
      <c r="R325" s="30">
        <v>1000</v>
      </c>
      <c r="S325" s="30">
        <v>0</v>
      </c>
      <c r="T325" s="30">
        <v>0</v>
      </c>
      <c r="U325" s="30">
        <v>0</v>
      </c>
      <c r="V325" s="30">
        <v>1000</v>
      </c>
      <c r="W325" s="42">
        <v>0</v>
      </c>
      <c r="X325"/>
    </row>
    <row r="326" spans="1:24" ht="15" x14ac:dyDescent="0.25">
      <c r="A326" s="40"/>
      <c r="B326" s="40"/>
      <c r="C326" s="40"/>
      <c r="D326" s="63" t="s">
        <v>291</v>
      </c>
      <c r="E326" s="64"/>
      <c r="F326" s="64"/>
      <c r="G326" s="65">
        <v>2006</v>
      </c>
      <c r="H326" s="66">
        <v>0</v>
      </c>
      <c r="I326" s="66">
        <v>0</v>
      </c>
      <c r="J326" s="66">
        <v>0</v>
      </c>
      <c r="K326" s="66">
        <v>0</v>
      </c>
      <c r="L326" s="66">
        <v>0</v>
      </c>
      <c r="M326" s="66">
        <v>0</v>
      </c>
      <c r="N326" s="66">
        <v>0</v>
      </c>
      <c r="O326" s="66">
        <v>0</v>
      </c>
      <c r="P326" s="66">
        <v>0</v>
      </c>
      <c r="Q326" s="66">
        <v>0</v>
      </c>
      <c r="R326" s="66">
        <v>2006</v>
      </c>
      <c r="S326" s="66">
        <v>0</v>
      </c>
      <c r="T326" s="66">
        <v>0</v>
      </c>
      <c r="U326" s="66">
        <v>0</v>
      </c>
      <c r="V326" s="66">
        <v>2006</v>
      </c>
      <c r="W326" s="67">
        <v>1</v>
      </c>
      <c r="X326"/>
    </row>
    <row r="327" spans="1:24" ht="15" x14ac:dyDescent="0.25">
      <c r="A327" s="40"/>
      <c r="B327" s="40"/>
      <c r="C327" s="40"/>
      <c r="D327" s="35" t="s">
        <v>200</v>
      </c>
      <c r="E327" s="35">
        <v>6013</v>
      </c>
      <c r="F327" s="35" t="s">
        <v>96</v>
      </c>
      <c r="G327" s="43">
        <v>0</v>
      </c>
      <c r="H327" s="44">
        <v>0</v>
      </c>
      <c r="I327" s="44">
        <v>0</v>
      </c>
      <c r="J327" s="44">
        <v>0</v>
      </c>
      <c r="K327" s="44">
        <v>0</v>
      </c>
      <c r="L327" s="44">
        <v>0</v>
      </c>
      <c r="M327" s="44">
        <v>0</v>
      </c>
      <c r="N327" s="44">
        <v>0</v>
      </c>
      <c r="O327" s="44">
        <v>0</v>
      </c>
      <c r="P327" s="44">
        <v>0</v>
      </c>
      <c r="Q327" s="44">
        <v>0</v>
      </c>
      <c r="R327" s="44">
        <v>200</v>
      </c>
      <c r="S327" s="44">
        <v>0</v>
      </c>
      <c r="T327" s="44">
        <v>0</v>
      </c>
      <c r="U327" s="44">
        <v>0</v>
      </c>
      <c r="V327" s="44">
        <v>200</v>
      </c>
      <c r="W327" s="39">
        <v>0</v>
      </c>
      <c r="X327"/>
    </row>
    <row r="328" spans="1:24" ht="15" x14ac:dyDescent="0.25">
      <c r="A328" s="40"/>
      <c r="B328" s="40"/>
      <c r="C328" s="40"/>
      <c r="D328" s="40"/>
      <c r="E328" s="40"/>
      <c r="F328" s="41" t="s">
        <v>71</v>
      </c>
      <c r="G328" s="45">
        <v>200</v>
      </c>
      <c r="H328" s="30">
        <v>0</v>
      </c>
      <c r="I328" s="30">
        <v>0</v>
      </c>
      <c r="J328" s="30">
        <v>0</v>
      </c>
      <c r="K328" s="30">
        <v>0</v>
      </c>
      <c r="L328" s="30">
        <v>0</v>
      </c>
      <c r="M328" s="30">
        <v>0</v>
      </c>
      <c r="N328" s="30">
        <v>0</v>
      </c>
      <c r="O328" s="30">
        <v>0</v>
      </c>
      <c r="P328" s="30">
        <v>0</v>
      </c>
      <c r="Q328" s="30">
        <v>0</v>
      </c>
      <c r="R328" s="30">
        <v>0</v>
      </c>
      <c r="S328" s="30">
        <v>0</v>
      </c>
      <c r="T328" s="30">
        <v>0</v>
      </c>
      <c r="U328" s="30">
        <v>0</v>
      </c>
      <c r="V328" s="30">
        <v>0</v>
      </c>
      <c r="W328" s="42">
        <v>0</v>
      </c>
      <c r="X328"/>
    </row>
    <row r="329" spans="1:24" ht="15" x14ac:dyDescent="0.25">
      <c r="A329" s="40"/>
      <c r="B329" s="40"/>
      <c r="C329" s="40"/>
      <c r="D329" s="63" t="s">
        <v>304</v>
      </c>
      <c r="E329" s="64"/>
      <c r="F329" s="64"/>
      <c r="G329" s="65">
        <v>200</v>
      </c>
      <c r="H329" s="66">
        <v>0</v>
      </c>
      <c r="I329" s="66">
        <v>0</v>
      </c>
      <c r="J329" s="66">
        <v>0</v>
      </c>
      <c r="K329" s="66">
        <v>0</v>
      </c>
      <c r="L329" s="66">
        <v>0</v>
      </c>
      <c r="M329" s="66">
        <v>0</v>
      </c>
      <c r="N329" s="66">
        <v>0</v>
      </c>
      <c r="O329" s="66">
        <v>0</v>
      </c>
      <c r="P329" s="66">
        <v>0</v>
      </c>
      <c r="Q329" s="66">
        <v>0</v>
      </c>
      <c r="R329" s="66">
        <v>200</v>
      </c>
      <c r="S329" s="66">
        <v>0</v>
      </c>
      <c r="T329" s="66">
        <v>0</v>
      </c>
      <c r="U329" s="66">
        <v>0</v>
      </c>
      <c r="V329" s="66">
        <v>200</v>
      </c>
      <c r="W329" s="67">
        <v>1</v>
      </c>
      <c r="X329"/>
    </row>
    <row r="330" spans="1:24" ht="15" x14ac:dyDescent="0.25">
      <c r="A330" s="40"/>
      <c r="B330" s="35" t="s">
        <v>155</v>
      </c>
      <c r="C330" s="35" t="s">
        <v>155</v>
      </c>
      <c r="D330" s="35" t="s">
        <v>187</v>
      </c>
      <c r="E330" s="35">
        <v>5627</v>
      </c>
      <c r="F330" s="35" t="s">
        <v>83</v>
      </c>
      <c r="G330" s="43">
        <v>0</v>
      </c>
      <c r="H330" s="44">
        <v>0</v>
      </c>
      <c r="I330" s="44">
        <v>0</v>
      </c>
      <c r="J330" s="44">
        <v>0</v>
      </c>
      <c r="K330" s="44">
        <v>0</v>
      </c>
      <c r="L330" s="44">
        <v>0</v>
      </c>
      <c r="M330" s="44">
        <v>0</v>
      </c>
      <c r="N330" s="44">
        <v>0</v>
      </c>
      <c r="O330" s="44">
        <v>0</v>
      </c>
      <c r="P330" s="44">
        <v>0</v>
      </c>
      <c r="Q330" s="44">
        <v>0</v>
      </c>
      <c r="R330" s="44">
        <v>100</v>
      </c>
      <c r="S330" s="44">
        <v>0</v>
      </c>
      <c r="T330" s="44">
        <v>0</v>
      </c>
      <c r="U330" s="44">
        <v>0</v>
      </c>
      <c r="V330" s="44">
        <v>100</v>
      </c>
      <c r="W330" s="39">
        <v>0</v>
      </c>
      <c r="X330"/>
    </row>
    <row r="331" spans="1:24" ht="15" x14ac:dyDescent="0.25">
      <c r="A331" s="40"/>
      <c r="B331" s="40"/>
      <c r="C331" s="40"/>
      <c r="D331" s="40"/>
      <c r="E331" s="40"/>
      <c r="F331" s="41" t="s">
        <v>96</v>
      </c>
      <c r="G331" s="45">
        <v>0</v>
      </c>
      <c r="H331" s="30">
        <v>0</v>
      </c>
      <c r="I331" s="30">
        <v>0</v>
      </c>
      <c r="J331" s="30">
        <v>0</v>
      </c>
      <c r="K331" s="30">
        <v>0</v>
      </c>
      <c r="L331" s="30">
        <v>0</v>
      </c>
      <c r="M331" s="30">
        <v>0</v>
      </c>
      <c r="N331" s="30">
        <v>0</v>
      </c>
      <c r="O331" s="30">
        <v>0</v>
      </c>
      <c r="P331" s="30">
        <v>0</v>
      </c>
      <c r="Q331" s="30">
        <v>0</v>
      </c>
      <c r="R331" s="30">
        <v>400</v>
      </c>
      <c r="S331" s="30">
        <v>0</v>
      </c>
      <c r="T331" s="30">
        <v>0</v>
      </c>
      <c r="U331" s="30">
        <v>0</v>
      </c>
      <c r="V331" s="30">
        <v>400</v>
      </c>
      <c r="W331" s="42">
        <v>0</v>
      </c>
      <c r="X331"/>
    </row>
    <row r="332" spans="1:24" ht="15" x14ac:dyDescent="0.25">
      <c r="A332" s="40"/>
      <c r="B332" s="40"/>
      <c r="C332" s="40"/>
      <c r="D332" s="40"/>
      <c r="E332" s="40"/>
      <c r="F332" s="41" t="s">
        <v>71</v>
      </c>
      <c r="G332" s="45">
        <v>500</v>
      </c>
      <c r="H332" s="30">
        <v>0</v>
      </c>
      <c r="I332" s="30">
        <v>0</v>
      </c>
      <c r="J332" s="30">
        <v>0</v>
      </c>
      <c r="K332" s="30">
        <v>0</v>
      </c>
      <c r="L332" s="30">
        <v>0</v>
      </c>
      <c r="M332" s="30">
        <v>0</v>
      </c>
      <c r="N332" s="30">
        <v>0</v>
      </c>
      <c r="O332" s="30">
        <v>0</v>
      </c>
      <c r="P332" s="30">
        <v>0</v>
      </c>
      <c r="Q332" s="30">
        <v>0</v>
      </c>
      <c r="R332" s="30">
        <v>0</v>
      </c>
      <c r="S332" s="30">
        <v>0</v>
      </c>
      <c r="T332" s="30">
        <v>0</v>
      </c>
      <c r="U332" s="30">
        <v>0</v>
      </c>
      <c r="V332" s="30">
        <v>0</v>
      </c>
      <c r="W332" s="42">
        <v>0</v>
      </c>
      <c r="X332"/>
    </row>
    <row r="333" spans="1:24" ht="15" x14ac:dyDescent="0.25">
      <c r="A333" s="40"/>
      <c r="B333" s="40"/>
      <c r="C333" s="40"/>
      <c r="D333" s="63" t="s">
        <v>293</v>
      </c>
      <c r="E333" s="64"/>
      <c r="F333" s="64"/>
      <c r="G333" s="65">
        <v>500</v>
      </c>
      <c r="H333" s="66">
        <v>0</v>
      </c>
      <c r="I333" s="66">
        <v>0</v>
      </c>
      <c r="J333" s="66">
        <v>0</v>
      </c>
      <c r="K333" s="66">
        <v>0</v>
      </c>
      <c r="L333" s="66">
        <v>0</v>
      </c>
      <c r="M333" s="66">
        <v>0</v>
      </c>
      <c r="N333" s="66">
        <v>0</v>
      </c>
      <c r="O333" s="66">
        <v>0</v>
      </c>
      <c r="P333" s="66">
        <v>0</v>
      </c>
      <c r="Q333" s="66">
        <v>0</v>
      </c>
      <c r="R333" s="66">
        <v>500</v>
      </c>
      <c r="S333" s="66">
        <v>0</v>
      </c>
      <c r="T333" s="66">
        <v>0</v>
      </c>
      <c r="U333" s="66">
        <v>0</v>
      </c>
      <c r="V333" s="66">
        <v>500</v>
      </c>
      <c r="W333" s="67">
        <v>1</v>
      </c>
      <c r="X333"/>
    </row>
    <row r="334" spans="1:24" ht="15" x14ac:dyDescent="0.25">
      <c r="A334" s="40"/>
      <c r="B334" s="40"/>
      <c r="C334" s="40"/>
      <c r="D334" s="35" t="s">
        <v>189</v>
      </c>
      <c r="E334" s="35">
        <v>5835</v>
      </c>
      <c r="F334" s="35" t="s">
        <v>83</v>
      </c>
      <c r="G334" s="43">
        <v>0</v>
      </c>
      <c r="H334" s="44">
        <v>0</v>
      </c>
      <c r="I334" s="44">
        <v>0</v>
      </c>
      <c r="J334" s="44">
        <v>0</v>
      </c>
      <c r="K334" s="44">
        <v>0</v>
      </c>
      <c r="L334" s="44">
        <v>0</v>
      </c>
      <c r="M334" s="44">
        <v>0</v>
      </c>
      <c r="N334" s="44">
        <v>0</v>
      </c>
      <c r="O334" s="44">
        <v>0</v>
      </c>
      <c r="P334" s="44">
        <v>0</v>
      </c>
      <c r="Q334" s="44">
        <v>0</v>
      </c>
      <c r="R334" s="44">
        <v>6</v>
      </c>
      <c r="S334" s="44">
        <v>0</v>
      </c>
      <c r="T334" s="44">
        <v>0</v>
      </c>
      <c r="U334" s="44">
        <v>0</v>
      </c>
      <c r="V334" s="44">
        <v>6</v>
      </c>
      <c r="W334" s="39">
        <v>0</v>
      </c>
      <c r="X334"/>
    </row>
    <row r="335" spans="1:24" ht="15" x14ac:dyDescent="0.25">
      <c r="A335" s="40"/>
      <c r="B335" s="40"/>
      <c r="C335" s="40"/>
      <c r="D335" s="40"/>
      <c r="E335" s="40"/>
      <c r="F335" s="41" t="s">
        <v>96</v>
      </c>
      <c r="G335" s="45">
        <v>0</v>
      </c>
      <c r="H335" s="30">
        <v>0</v>
      </c>
      <c r="I335" s="30">
        <v>0</v>
      </c>
      <c r="J335" s="30">
        <v>0</v>
      </c>
      <c r="K335" s="30">
        <v>0</v>
      </c>
      <c r="L335" s="30">
        <v>0</v>
      </c>
      <c r="M335" s="30">
        <v>0</v>
      </c>
      <c r="N335" s="30">
        <v>0</v>
      </c>
      <c r="O335" s="30">
        <v>0</v>
      </c>
      <c r="P335" s="30">
        <v>0</v>
      </c>
      <c r="Q335" s="30">
        <v>0</v>
      </c>
      <c r="R335" s="30">
        <v>400</v>
      </c>
      <c r="S335" s="30">
        <v>0</v>
      </c>
      <c r="T335" s="30">
        <v>0</v>
      </c>
      <c r="U335" s="30">
        <v>0</v>
      </c>
      <c r="V335" s="30">
        <v>400</v>
      </c>
      <c r="W335" s="42">
        <v>0</v>
      </c>
      <c r="X335"/>
    </row>
    <row r="336" spans="1:24" ht="15" x14ac:dyDescent="0.25">
      <c r="A336" s="40"/>
      <c r="B336" s="40"/>
      <c r="C336" s="40"/>
      <c r="D336" s="40"/>
      <c r="E336" s="40"/>
      <c r="F336" s="41" t="s">
        <v>71</v>
      </c>
      <c r="G336" s="45">
        <v>406</v>
      </c>
      <c r="H336" s="30">
        <v>0</v>
      </c>
      <c r="I336" s="30">
        <v>0</v>
      </c>
      <c r="J336" s="30">
        <v>0</v>
      </c>
      <c r="K336" s="30">
        <v>0</v>
      </c>
      <c r="L336" s="30">
        <v>0</v>
      </c>
      <c r="M336" s="30">
        <v>0</v>
      </c>
      <c r="N336" s="30">
        <v>0</v>
      </c>
      <c r="O336" s="30">
        <v>0</v>
      </c>
      <c r="P336" s="30">
        <v>0</v>
      </c>
      <c r="Q336" s="30">
        <v>0</v>
      </c>
      <c r="R336" s="30">
        <v>0</v>
      </c>
      <c r="S336" s="30">
        <v>0</v>
      </c>
      <c r="T336" s="30">
        <v>0</v>
      </c>
      <c r="U336" s="30">
        <v>0</v>
      </c>
      <c r="V336" s="30">
        <v>0</v>
      </c>
      <c r="W336" s="42">
        <v>0</v>
      </c>
      <c r="X336"/>
    </row>
    <row r="337" spans="1:24" ht="15" x14ac:dyDescent="0.25">
      <c r="A337" s="40"/>
      <c r="B337" s="40"/>
      <c r="C337" s="40"/>
      <c r="D337" s="63" t="s">
        <v>299</v>
      </c>
      <c r="E337" s="64"/>
      <c r="F337" s="64"/>
      <c r="G337" s="65">
        <v>406</v>
      </c>
      <c r="H337" s="66">
        <v>0</v>
      </c>
      <c r="I337" s="66">
        <v>0</v>
      </c>
      <c r="J337" s="66">
        <v>0</v>
      </c>
      <c r="K337" s="66">
        <v>0</v>
      </c>
      <c r="L337" s="66">
        <v>0</v>
      </c>
      <c r="M337" s="66">
        <v>0</v>
      </c>
      <c r="N337" s="66">
        <v>0</v>
      </c>
      <c r="O337" s="66">
        <v>0</v>
      </c>
      <c r="P337" s="66">
        <v>0</v>
      </c>
      <c r="Q337" s="66">
        <v>0</v>
      </c>
      <c r="R337" s="66">
        <v>406</v>
      </c>
      <c r="S337" s="66">
        <v>0</v>
      </c>
      <c r="T337" s="66">
        <v>0</v>
      </c>
      <c r="U337" s="66">
        <v>0</v>
      </c>
      <c r="V337" s="66">
        <v>406</v>
      </c>
      <c r="W337" s="67">
        <v>1</v>
      </c>
      <c r="X337"/>
    </row>
    <row r="338" spans="1:24" ht="15" x14ac:dyDescent="0.25">
      <c r="A338" s="40"/>
      <c r="B338" s="40"/>
      <c r="C338" s="40"/>
      <c r="D338" s="35" t="s">
        <v>191</v>
      </c>
      <c r="E338" s="35">
        <v>5624</v>
      </c>
      <c r="F338" s="35" t="s">
        <v>96</v>
      </c>
      <c r="G338" s="43">
        <v>0</v>
      </c>
      <c r="H338" s="44">
        <v>0</v>
      </c>
      <c r="I338" s="44">
        <v>0</v>
      </c>
      <c r="J338" s="44">
        <v>0</v>
      </c>
      <c r="K338" s="44">
        <v>0</v>
      </c>
      <c r="L338" s="44">
        <v>0</v>
      </c>
      <c r="M338" s="44">
        <v>0</v>
      </c>
      <c r="N338" s="44">
        <v>0</v>
      </c>
      <c r="O338" s="44">
        <v>0</v>
      </c>
      <c r="P338" s="44">
        <v>0</v>
      </c>
      <c r="Q338" s="44">
        <v>0</v>
      </c>
      <c r="R338" s="44">
        <v>100</v>
      </c>
      <c r="S338" s="44">
        <v>0</v>
      </c>
      <c r="T338" s="44">
        <v>0</v>
      </c>
      <c r="U338" s="44">
        <v>0</v>
      </c>
      <c r="V338" s="44">
        <v>100</v>
      </c>
      <c r="W338" s="39">
        <v>0</v>
      </c>
      <c r="X338"/>
    </row>
    <row r="339" spans="1:24" ht="15" x14ac:dyDescent="0.25">
      <c r="A339" s="40"/>
      <c r="B339" s="40"/>
      <c r="C339" s="40"/>
      <c r="D339" s="40"/>
      <c r="E339" s="40"/>
      <c r="F339" s="41" t="s">
        <v>71</v>
      </c>
      <c r="G339" s="45">
        <v>100</v>
      </c>
      <c r="H339" s="30">
        <v>0</v>
      </c>
      <c r="I339" s="30">
        <v>0</v>
      </c>
      <c r="J339" s="30">
        <v>0</v>
      </c>
      <c r="K339" s="30">
        <v>0</v>
      </c>
      <c r="L339" s="30">
        <v>0</v>
      </c>
      <c r="M339" s="30">
        <v>0</v>
      </c>
      <c r="N339" s="30">
        <v>0</v>
      </c>
      <c r="O339" s="30">
        <v>0</v>
      </c>
      <c r="P339" s="30">
        <v>0</v>
      </c>
      <c r="Q339" s="30">
        <v>0</v>
      </c>
      <c r="R339" s="30">
        <v>0</v>
      </c>
      <c r="S339" s="30">
        <v>0</v>
      </c>
      <c r="T339" s="30">
        <v>0</v>
      </c>
      <c r="U339" s="30">
        <v>0</v>
      </c>
      <c r="V339" s="30">
        <v>0</v>
      </c>
      <c r="W339" s="42">
        <v>0</v>
      </c>
      <c r="X339"/>
    </row>
    <row r="340" spans="1:24" ht="15" x14ac:dyDescent="0.25">
      <c r="A340" s="40"/>
      <c r="B340" s="40"/>
      <c r="C340" s="40"/>
      <c r="D340" s="63" t="s">
        <v>298</v>
      </c>
      <c r="E340" s="64"/>
      <c r="F340" s="64"/>
      <c r="G340" s="65">
        <v>100</v>
      </c>
      <c r="H340" s="66">
        <v>0</v>
      </c>
      <c r="I340" s="66">
        <v>0</v>
      </c>
      <c r="J340" s="66">
        <v>0</v>
      </c>
      <c r="K340" s="66">
        <v>0</v>
      </c>
      <c r="L340" s="66">
        <v>0</v>
      </c>
      <c r="M340" s="66">
        <v>0</v>
      </c>
      <c r="N340" s="66">
        <v>0</v>
      </c>
      <c r="O340" s="66">
        <v>0</v>
      </c>
      <c r="P340" s="66">
        <v>0</v>
      </c>
      <c r="Q340" s="66">
        <v>0</v>
      </c>
      <c r="R340" s="66">
        <v>100</v>
      </c>
      <c r="S340" s="66">
        <v>0</v>
      </c>
      <c r="T340" s="66">
        <v>0</v>
      </c>
      <c r="U340" s="66">
        <v>0</v>
      </c>
      <c r="V340" s="66">
        <v>100</v>
      </c>
      <c r="W340" s="67">
        <v>1</v>
      </c>
      <c r="X340"/>
    </row>
    <row r="341" spans="1:24" ht="15" x14ac:dyDescent="0.25">
      <c r="A341" s="40"/>
      <c r="B341" s="40"/>
      <c r="C341" s="40"/>
      <c r="D341" s="35" t="s">
        <v>212</v>
      </c>
      <c r="E341" s="35">
        <v>5632</v>
      </c>
      <c r="F341" s="35" t="s">
        <v>83</v>
      </c>
      <c r="G341" s="43">
        <v>0</v>
      </c>
      <c r="H341" s="44">
        <v>0</v>
      </c>
      <c r="I341" s="44">
        <v>0</v>
      </c>
      <c r="J341" s="44">
        <v>0</v>
      </c>
      <c r="K341" s="44">
        <v>0</v>
      </c>
      <c r="L341" s="44">
        <v>0</v>
      </c>
      <c r="M341" s="44">
        <v>0</v>
      </c>
      <c r="N341" s="44">
        <v>0</v>
      </c>
      <c r="O341" s="44">
        <v>0</v>
      </c>
      <c r="P341" s="44">
        <v>0</v>
      </c>
      <c r="Q341" s="44">
        <v>0</v>
      </c>
      <c r="R341" s="44">
        <v>10</v>
      </c>
      <c r="S341" s="44">
        <v>0</v>
      </c>
      <c r="T341" s="44">
        <v>0</v>
      </c>
      <c r="U341" s="44">
        <v>0</v>
      </c>
      <c r="V341" s="44">
        <v>10</v>
      </c>
      <c r="W341" s="39">
        <v>0</v>
      </c>
      <c r="X341"/>
    </row>
    <row r="342" spans="1:24" ht="15" x14ac:dyDescent="0.25">
      <c r="A342" s="40"/>
      <c r="B342" s="40"/>
      <c r="C342" s="40"/>
      <c r="D342" s="40"/>
      <c r="E342" s="40"/>
      <c r="F342" s="41" t="s">
        <v>96</v>
      </c>
      <c r="G342" s="45">
        <v>0</v>
      </c>
      <c r="H342" s="30">
        <v>0</v>
      </c>
      <c r="I342" s="30">
        <v>0</v>
      </c>
      <c r="J342" s="30">
        <v>0</v>
      </c>
      <c r="K342" s="30">
        <v>0</v>
      </c>
      <c r="L342" s="30">
        <v>0</v>
      </c>
      <c r="M342" s="30">
        <v>0</v>
      </c>
      <c r="N342" s="30">
        <v>0</v>
      </c>
      <c r="O342" s="30">
        <v>0</v>
      </c>
      <c r="P342" s="30">
        <v>0</v>
      </c>
      <c r="Q342" s="30">
        <v>0</v>
      </c>
      <c r="R342" s="30">
        <v>100</v>
      </c>
      <c r="S342" s="30">
        <v>0</v>
      </c>
      <c r="T342" s="30">
        <v>0</v>
      </c>
      <c r="U342" s="30">
        <v>0</v>
      </c>
      <c r="V342" s="30">
        <v>100</v>
      </c>
      <c r="W342" s="42">
        <v>0</v>
      </c>
      <c r="X342"/>
    </row>
    <row r="343" spans="1:24" ht="15" x14ac:dyDescent="0.25">
      <c r="A343" s="40"/>
      <c r="B343" s="40"/>
      <c r="C343" s="40"/>
      <c r="D343" s="40"/>
      <c r="E343" s="40"/>
      <c r="F343" s="41" t="s">
        <v>71</v>
      </c>
      <c r="G343" s="45">
        <v>110</v>
      </c>
      <c r="H343" s="30">
        <v>0</v>
      </c>
      <c r="I343" s="30">
        <v>0</v>
      </c>
      <c r="J343" s="30">
        <v>0</v>
      </c>
      <c r="K343" s="30">
        <v>0</v>
      </c>
      <c r="L343" s="30">
        <v>0</v>
      </c>
      <c r="M343" s="30">
        <v>0</v>
      </c>
      <c r="N343" s="30">
        <v>0</v>
      </c>
      <c r="O343" s="30">
        <v>0</v>
      </c>
      <c r="P343" s="30">
        <v>0</v>
      </c>
      <c r="Q343" s="30">
        <v>0</v>
      </c>
      <c r="R343" s="30">
        <v>0</v>
      </c>
      <c r="S343" s="30">
        <v>0</v>
      </c>
      <c r="T343" s="30">
        <v>0</v>
      </c>
      <c r="U343" s="30">
        <v>0</v>
      </c>
      <c r="V343" s="30">
        <v>0</v>
      </c>
      <c r="W343" s="42">
        <v>0</v>
      </c>
      <c r="X343"/>
    </row>
    <row r="344" spans="1:24" ht="15" x14ac:dyDescent="0.25">
      <c r="A344" s="40"/>
      <c r="B344" s="40"/>
      <c r="C344" s="40"/>
      <c r="D344" s="63" t="s">
        <v>307</v>
      </c>
      <c r="E344" s="64"/>
      <c r="F344" s="64"/>
      <c r="G344" s="65">
        <v>110</v>
      </c>
      <c r="H344" s="66">
        <v>0</v>
      </c>
      <c r="I344" s="66">
        <v>0</v>
      </c>
      <c r="J344" s="66">
        <v>0</v>
      </c>
      <c r="K344" s="66">
        <v>0</v>
      </c>
      <c r="L344" s="66">
        <v>0</v>
      </c>
      <c r="M344" s="66">
        <v>0</v>
      </c>
      <c r="N344" s="66">
        <v>0</v>
      </c>
      <c r="O344" s="66">
        <v>0</v>
      </c>
      <c r="P344" s="66">
        <v>0</v>
      </c>
      <c r="Q344" s="66">
        <v>0</v>
      </c>
      <c r="R344" s="66">
        <v>110</v>
      </c>
      <c r="S344" s="66">
        <v>0</v>
      </c>
      <c r="T344" s="66">
        <v>0</v>
      </c>
      <c r="U344" s="66">
        <v>0</v>
      </c>
      <c r="V344" s="66">
        <v>110</v>
      </c>
      <c r="W344" s="67">
        <v>1</v>
      </c>
      <c r="X344"/>
    </row>
    <row r="345" spans="1:24" ht="15" x14ac:dyDescent="0.25">
      <c r="A345" s="40"/>
      <c r="B345" s="40"/>
      <c r="C345" s="40"/>
      <c r="D345" s="35" t="s">
        <v>219</v>
      </c>
      <c r="E345" s="35">
        <v>5628</v>
      </c>
      <c r="F345" s="35" t="s">
        <v>83</v>
      </c>
      <c r="G345" s="43">
        <v>0</v>
      </c>
      <c r="H345" s="44">
        <v>0</v>
      </c>
      <c r="I345" s="44">
        <v>0</v>
      </c>
      <c r="J345" s="44">
        <v>0</v>
      </c>
      <c r="K345" s="44">
        <v>0</v>
      </c>
      <c r="L345" s="44">
        <v>0</v>
      </c>
      <c r="M345" s="44">
        <v>0</v>
      </c>
      <c r="N345" s="44">
        <v>0</v>
      </c>
      <c r="O345" s="44">
        <v>0</v>
      </c>
      <c r="P345" s="44">
        <v>0</v>
      </c>
      <c r="Q345" s="44">
        <v>0</v>
      </c>
      <c r="R345" s="44">
        <v>100</v>
      </c>
      <c r="S345" s="44">
        <v>0</v>
      </c>
      <c r="T345" s="44">
        <v>0</v>
      </c>
      <c r="U345" s="44">
        <v>0</v>
      </c>
      <c r="V345" s="44">
        <v>100</v>
      </c>
      <c r="W345" s="39">
        <v>0</v>
      </c>
      <c r="X345"/>
    </row>
    <row r="346" spans="1:24" ht="15" x14ac:dyDescent="0.25">
      <c r="A346" s="40"/>
      <c r="B346" s="40"/>
      <c r="C346" s="40"/>
      <c r="D346" s="40"/>
      <c r="E346" s="40"/>
      <c r="F346" s="41" t="s">
        <v>96</v>
      </c>
      <c r="G346" s="45">
        <v>0</v>
      </c>
      <c r="H346" s="30">
        <v>0</v>
      </c>
      <c r="I346" s="30">
        <v>0</v>
      </c>
      <c r="J346" s="30">
        <v>0</v>
      </c>
      <c r="K346" s="30">
        <v>0</v>
      </c>
      <c r="L346" s="30">
        <v>0</v>
      </c>
      <c r="M346" s="30">
        <v>0</v>
      </c>
      <c r="N346" s="30">
        <v>0</v>
      </c>
      <c r="O346" s="30">
        <v>0</v>
      </c>
      <c r="P346" s="30">
        <v>0</v>
      </c>
      <c r="Q346" s="30">
        <v>0</v>
      </c>
      <c r="R346" s="30">
        <v>840</v>
      </c>
      <c r="S346" s="30">
        <v>0</v>
      </c>
      <c r="T346" s="30">
        <v>0</v>
      </c>
      <c r="U346" s="30">
        <v>0</v>
      </c>
      <c r="V346" s="30">
        <v>840</v>
      </c>
      <c r="W346" s="42">
        <v>0</v>
      </c>
      <c r="X346"/>
    </row>
    <row r="347" spans="1:24" ht="15" x14ac:dyDescent="0.25">
      <c r="A347" s="40"/>
      <c r="B347" s="40"/>
      <c r="C347" s="40"/>
      <c r="D347" s="40"/>
      <c r="E347" s="40"/>
      <c r="F347" s="41" t="s">
        <v>71</v>
      </c>
      <c r="G347" s="45">
        <v>940</v>
      </c>
      <c r="H347" s="30">
        <v>0</v>
      </c>
      <c r="I347" s="30">
        <v>0</v>
      </c>
      <c r="J347" s="30">
        <v>0</v>
      </c>
      <c r="K347" s="30">
        <v>0</v>
      </c>
      <c r="L347" s="30">
        <v>0</v>
      </c>
      <c r="M347" s="30">
        <v>0</v>
      </c>
      <c r="N347" s="30">
        <v>0</v>
      </c>
      <c r="O347" s="30">
        <v>0</v>
      </c>
      <c r="P347" s="30">
        <v>0</v>
      </c>
      <c r="Q347" s="30">
        <v>0</v>
      </c>
      <c r="R347" s="30">
        <v>0</v>
      </c>
      <c r="S347" s="30">
        <v>0</v>
      </c>
      <c r="T347" s="30">
        <v>0</v>
      </c>
      <c r="U347" s="30">
        <v>0</v>
      </c>
      <c r="V347" s="30">
        <v>0</v>
      </c>
      <c r="W347" s="42">
        <v>0</v>
      </c>
      <c r="X347"/>
    </row>
    <row r="348" spans="1:24" ht="15" x14ac:dyDescent="0.25">
      <c r="A348" s="40"/>
      <c r="B348" s="40"/>
      <c r="C348" s="40"/>
      <c r="D348" s="63" t="s">
        <v>294</v>
      </c>
      <c r="E348" s="64"/>
      <c r="F348" s="64"/>
      <c r="G348" s="65">
        <v>940</v>
      </c>
      <c r="H348" s="66">
        <v>0</v>
      </c>
      <c r="I348" s="66">
        <v>0</v>
      </c>
      <c r="J348" s="66">
        <v>0</v>
      </c>
      <c r="K348" s="66">
        <v>0</v>
      </c>
      <c r="L348" s="66">
        <v>0</v>
      </c>
      <c r="M348" s="66">
        <v>0</v>
      </c>
      <c r="N348" s="66">
        <v>0</v>
      </c>
      <c r="O348" s="66">
        <v>0</v>
      </c>
      <c r="P348" s="66">
        <v>0</v>
      </c>
      <c r="Q348" s="66">
        <v>0</v>
      </c>
      <c r="R348" s="66">
        <v>940</v>
      </c>
      <c r="S348" s="66">
        <v>0</v>
      </c>
      <c r="T348" s="66">
        <v>0</v>
      </c>
      <c r="U348" s="66">
        <v>0</v>
      </c>
      <c r="V348" s="66">
        <v>940</v>
      </c>
      <c r="W348" s="67">
        <v>1</v>
      </c>
      <c r="X348"/>
    </row>
    <row r="349" spans="1:24" ht="15" x14ac:dyDescent="0.25">
      <c r="A349" s="40"/>
      <c r="B349" s="35" t="s">
        <v>183</v>
      </c>
      <c r="C349" s="35" t="s">
        <v>183</v>
      </c>
      <c r="D349" s="35" t="s">
        <v>219</v>
      </c>
      <c r="E349" s="35">
        <v>5628</v>
      </c>
      <c r="F349" s="35" t="s">
        <v>83</v>
      </c>
      <c r="G349" s="43">
        <v>0</v>
      </c>
      <c r="H349" s="44">
        <v>0</v>
      </c>
      <c r="I349" s="44">
        <v>0</v>
      </c>
      <c r="J349" s="44">
        <v>0</v>
      </c>
      <c r="K349" s="44">
        <v>0</v>
      </c>
      <c r="L349" s="44">
        <v>0</v>
      </c>
      <c r="M349" s="44">
        <v>0</v>
      </c>
      <c r="N349" s="44">
        <v>7</v>
      </c>
      <c r="O349" s="44">
        <v>0</v>
      </c>
      <c r="P349" s="44">
        <v>0</v>
      </c>
      <c r="Q349" s="44">
        <v>0</v>
      </c>
      <c r="R349" s="44">
        <v>0</v>
      </c>
      <c r="S349" s="44">
        <v>0</v>
      </c>
      <c r="T349" s="44">
        <v>0</v>
      </c>
      <c r="U349" s="44">
        <v>0</v>
      </c>
      <c r="V349" s="44">
        <v>7</v>
      </c>
      <c r="W349" s="39">
        <v>0</v>
      </c>
      <c r="X349"/>
    </row>
    <row r="350" spans="1:24" ht="15" x14ac:dyDescent="0.25">
      <c r="A350" s="40"/>
      <c r="B350" s="40"/>
      <c r="C350" s="40"/>
      <c r="D350" s="40"/>
      <c r="E350" s="40"/>
      <c r="F350" s="41" t="s">
        <v>96</v>
      </c>
      <c r="G350" s="45">
        <v>0</v>
      </c>
      <c r="H350" s="30">
        <v>0</v>
      </c>
      <c r="I350" s="30">
        <v>0</v>
      </c>
      <c r="J350" s="30">
        <v>0</v>
      </c>
      <c r="K350" s="30">
        <v>150</v>
      </c>
      <c r="L350" s="30">
        <v>0</v>
      </c>
      <c r="M350" s="30">
        <v>150</v>
      </c>
      <c r="N350" s="30">
        <v>0</v>
      </c>
      <c r="O350" s="30">
        <v>0</v>
      </c>
      <c r="P350" s="30">
        <v>0</v>
      </c>
      <c r="Q350" s="30">
        <v>0</v>
      </c>
      <c r="R350" s="30">
        <v>0</v>
      </c>
      <c r="S350" s="30">
        <v>0</v>
      </c>
      <c r="T350" s="30">
        <v>0</v>
      </c>
      <c r="U350" s="30">
        <v>0</v>
      </c>
      <c r="V350" s="30">
        <v>300</v>
      </c>
      <c r="W350" s="42">
        <v>0</v>
      </c>
      <c r="X350"/>
    </row>
    <row r="351" spans="1:24" ht="15" x14ac:dyDescent="0.25">
      <c r="A351" s="40"/>
      <c r="B351" s="40"/>
      <c r="C351" s="40"/>
      <c r="D351" s="40"/>
      <c r="E351" s="40"/>
      <c r="F351" s="41" t="s">
        <v>71</v>
      </c>
      <c r="G351" s="45">
        <v>314</v>
      </c>
      <c r="H351" s="30">
        <v>0</v>
      </c>
      <c r="I351" s="30">
        <v>0</v>
      </c>
      <c r="J351" s="30">
        <v>0</v>
      </c>
      <c r="K351" s="30">
        <v>7</v>
      </c>
      <c r="L351" s="30">
        <v>0</v>
      </c>
      <c r="M351" s="30">
        <v>7</v>
      </c>
      <c r="N351" s="30">
        <v>-7</v>
      </c>
      <c r="O351" s="30">
        <v>0</v>
      </c>
      <c r="P351" s="30">
        <v>0</v>
      </c>
      <c r="Q351" s="30">
        <v>0</v>
      </c>
      <c r="R351" s="30">
        <v>0</v>
      </c>
      <c r="S351" s="30">
        <v>0</v>
      </c>
      <c r="T351" s="30">
        <v>0</v>
      </c>
      <c r="U351" s="30">
        <v>0</v>
      </c>
      <c r="V351" s="30">
        <v>7</v>
      </c>
      <c r="W351" s="42">
        <v>2.2292993630573247E-2</v>
      </c>
      <c r="X351"/>
    </row>
    <row r="352" spans="1:24" ht="15" x14ac:dyDescent="0.25">
      <c r="A352" s="40"/>
      <c r="B352" s="40"/>
      <c r="C352" s="40"/>
      <c r="D352" s="63" t="s">
        <v>294</v>
      </c>
      <c r="E352" s="64"/>
      <c r="F352" s="64"/>
      <c r="G352" s="65">
        <v>314</v>
      </c>
      <c r="H352" s="66">
        <v>0</v>
      </c>
      <c r="I352" s="66">
        <v>0</v>
      </c>
      <c r="J352" s="66">
        <v>0</v>
      </c>
      <c r="K352" s="66">
        <v>157</v>
      </c>
      <c r="L352" s="66">
        <v>0</v>
      </c>
      <c r="M352" s="66">
        <v>157</v>
      </c>
      <c r="N352" s="66">
        <v>0</v>
      </c>
      <c r="O352" s="66">
        <v>0</v>
      </c>
      <c r="P352" s="66">
        <v>0</v>
      </c>
      <c r="Q352" s="66">
        <v>0</v>
      </c>
      <c r="R352" s="66">
        <v>0</v>
      </c>
      <c r="S352" s="66">
        <v>0</v>
      </c>
      <c r="T352" s="66">
        <v>0</v>
      </c>
      <c r="U352" s="66">
        <v>0</v>
      </c>
      <c r="V352" s="66">
        <v>314</v>
      </c>
      <c r="W352" s="67">
        <v>1</v>
      </c>
      <c r="X352"/>
    </row>
    <row r="353" spans="1:24" ht="15" x14ac:dyDescent="0.25">
      <c r="A353" s="40"/>
      <c r="B353" s="35" t="s">
        <v>184</v>
      </c>
      <c r="C353" s="35" t="s">
        <v>184</v>
      </c>
      <c r="D353" s="35" t="s">
        <v>194</v>
      </c>
      <c r="E353" s="35">
        <v>5613</v>
      </c>
      <c r="F353" s="35" t="s">
        <v>71</v>
      </c>
      <c r="G353" s="43">
        <v>3</v>
      </c>
      <c r="H353" s="44">
        <v>0</v>
      </c>
      <c r="I353" s="44">
        <v>0</v>
      </c>
      <c r="J353" s="44">
        <v>0</v>
      </c>
      <c r="K353" s="44">
        <v>0</v>
      </c>
      <c r="L353" s="44">
        <v>0</v>
      </c>
      <c r="M353" s="44">
        <v>0</v>
      </c>
      <c r="N353" s="44">
        <v>0</v>
      </c>
      <c r="O353" s="44">
        <v>0</v>
      </c>
      <c r="P353" s="44">
        <v>0</v>
      </c>
      <c r="Q353" s="44">
        <v>0</v>
      </c>
      <c r="R353" s="44">
        <v>0</v>
      </c>
      <c r="S353" s="44">
        <v>3</v>
      </c>
      <c r="T353" s="44">
        <v>0</v>
      </c>
      <c r="U353" s="44">
        <v>0</v>
      </c>
      <c r="V353" s="44">
        <v>3</v>
      </c>
      <c r="W353" s="39">
        <v>1</v>
      </c>
      <c r="X353"/>
    </row>
    <row r="354" spans="1:24" ht="15" x14ac:dyDescent="0.25">
      <c r="A354" s="40"/>
      <c r="B354" s="40"/>
      <c r="C354" s="40"/>
      <c r="D354" s="63" t="s">
        <v>291</v>
      </c>
      <c r="E354" s="64"/>
      <c r="F354" s="64"/>
      <c r="G354" s="65">
        <v>3</v>
      </c>
      <c r="H354" s="66">
        <v>0</v>
      </c>
      <c r="I354" s="66">
        <v>0</v>
      </c>
      <c r="J354" s="66">
        <v>0</v>
      </c>
      <c r="K354" s="66">
        <v>0</v>
      </c>
      <c r="L354" s="66">
        <v>0</v>
      </c>
      <c r="M354" s="66">
        <v>0</v>
      </c>
      <c r="N354" s="66">
        <v>0</v>
      </c>
      <c r="O354" s="66">
        <v>0</v>
      </c>
      <c r="P354" s="66">
        <v>0</v>
      </c>
      <c r="Q354" s="66">
        <v>0</v>
      </c>
      <c r="R354" s="66">
        <v>0</v>
      </c>
      <c r="S354" s="66">
        <v>3</v>
      </c>
      <c r="T354" s="66">
        <v>0</v>
      </c>
      <c r="U354" s="66">
        <v>0</v>
      </c>
      <c r="V354" s="66">
        <v>3</v>
      </c>
      <c r="W354" s="67">
        <v>1</v>
      </c>
      <c r="X354"/>
    </row>
    <row r="355" spans="1:24" ht="15" x14ac:dyDescent="0.25">
      <c r="A355" s="40"/>
      <c r="B355" s="35" t="s">
        <v>287</v>
      </c>
      <c r="C355" s="35" t="s">
        <v>287</v>
      </c>
      <c r="D355" s="35" t="s">
        <v>191</v>
      </c>
      <c r="E355" s="35">
        <v>5624</v>
      </c>
      <c r="F355" s="35" t="s">
        <v>71</v>
      </c>
      <c r="G355" s="43">
        <v>4</v>
      </c>
      <c r="H355" s="44">
        <v>0</v>
      </c>
      <c r="I355" s="44">
        <v>0</v>
      </c>
      <c r="J355" s="44">
        <v>0</v>
      </c>
      <c r="K355" s="44">
        <v>0</v>
      </c>
      <c r="L355" s="44">
        <v>0</v>
      </c>
      <c r="M355" s="44">
        <v>0</v>
      </c>
      <c r="N355" s="44">
        <v>0</v>
      </c>
      <c r="O355" s="44">
        <v>0</v>
      </c>
      <c r="P355" s="44">
        <v>0</v>
      </c>
      <c r="Q355" s="44">
        <v>0</v>
      </c>
      <c r="R355" s="44">
        <v>0</v>
      </c>
      <c r="S355" s="44">
        <v>0</v>
      </c>
      <c r="T355" s="44">
        <v>4</v>
      </c>
      <c r="U355" s="44">
        <v>0</v>
      </c>
      <c r="V355" s="44">
        <v>4</v>
      </c>
      <c r="W355" s="39">
        <v>1</v>
      </c>
      <c r="X355"/>
    </row>
    <row r="356" spans="1:24" ht="15" x14ac:dyDescent="0.25">
      <c r="A356" s="40"/>
      <c r="B356" s="40"/>
      <c r="C356" s="40"/>
      <c r="D356" s="63" t="s">
        <v>298</v>
      </c>
      <c r="E356" s="64"/>
      <c r="F356" s="64"/>
      <c r="G356" s="65">
        <v>4</v>
      </c>
      <c r="H356" s="66">
        <v>0</v>
      </c>
      <c r="I356" s="66">
        <v>0</v>
      </c>
      <c r="J356" s="66">
        <v>0</v>
      </c>
      <c r="K356" s="66">
        <v>0</v>
      </c>
      <c r="L356" s="66">
        <v>0</v>
      </c>
      <c r="M356" s="66">
        <v>0</v>
      </c>
      <c r="N356" s="66">
        <v>0</v>
      </c>
      <c r="O356" s="66">
        <v>0</v>
      </c>
      <c r="P356" s="66">
        <v>0</v>
      </c>
      <c r="Q356" s="66">
        <v>0</v>
      </c>
      <c r="R356" s="66">
        <v>0</v>
      </c>
      <c r="S356" s="66">
        <v>0</v>
      </c>
      <c r="T356" s="66">
        <v>4</v>
      </c>
      <c r="U356" s="66">
        <v>0</v>
      </c>
      <c r="V356" s="66">
        <v>4</v>
      </c>
      <c r="W356" s="67">
        <v>1</v>
      </c>
      <c r="X356"/>
    </row>
    <row r="357" spans="1:24" ht="15" x14ac:dyDescent="0.25">
      <c r="A357" s="40"/>
      <c r="B357" s="40"/>
      <c r="C357" s="40"/>
      <c r="D357" s="35" t="s">
        <v>244</v>
      </c>
      <c r="E357" s="35">
        <v>6089</v>
      </c>
      <c r="F357" s="35" t="s">
        <v>71</v>
      </c>
      <c r="G357" s="43">
        <v>8</v>
      </c>
      <c r="H357" s="44">
        <v>0</v>
      </c>
      <c r="I357" s="44">
        <v>0</v>
      </c>
      <c r="J357" s="44">
        <v>0</v>
      </c>
      <c r="K357" s="44">
        <v>0</v>
      </c>
      <c r="L357" s="44">
        <v>0</v>
      </c>
      <c r="M357" s="44">
        <v>0</v>
      </c>
      <c r="N357" s="44">
        <v>0</v>
      </c>
      <c r="O357" s="44">
        <v>0</v>
      </c>
      <c r="P357" s="44">
        <v>0</v>
      </c>
      <c r="Q357" s="44">
        <v>0</v>
      </c>
      <c r="R357" s="44">
        <v>0</v>
      </c>
      <c r="S357" s="44">
        <v>0</v>
      </c>
      <c r="T357" s="44">
        <v>8</v>
      </c>
      <c r="U357" s="44">
        <v>0</v>
      </c>
      <c r="V357" s="44">
        <v>8</v>
      </c>
      <c r="W357" s="39">
        <v>1</v>
      </c>
      <c r="X357"/>
    </row>
    <row r="358" spans="1:24" ht="15" x14ac:dyDescent="0.25">
      <c r="A358" s="40"/>
      <c r="B358" s="40"/>
      <c r="C358" s="40"/>
      <c r="D358" s="63" t="s">
        <v>308</v>
      </c>
      <c r="E358" s="64"/>
      <c r="F358" s="64"/>
      <c r="G358" s="65">
        <v>8</v>
      </c>
      <c r="H358" s="66">
        <v>0</v>
      </c>
      <c r="I358" s="66">
        <v>0</v>
      </c>
      <c r="J358" s="66">
        <v>0</v>
      </c>
      <c r="K358" s="66">
        <v>0</v>
      </c>
      <c r="L358" s="66">
        <v>0</v>
      </c>
      <c r="M358" s="66">
        <v>0</v>
      </c>
      <c r="N358" s="66">
        <v>0</v>
      </c>
      <c r="O358" s="66">
        <v>0</v>
      </c>
      <c r="P358" s="66">
        <v>0</v>
      </c>
      <c r="Q358" s="66">
        <v>0</v>
      </c>
      <c r="R358" s="66">
        <v>0</v>
      </c>
      <c r="S358" s="66">
        <v>0</v>
      </c>
      <c r="T358" s="66">
        <v>8</v>
      </c>
      <c r="U358" s="66">
        <v>0</v>
      </c>
      <c r="V358" s="66">
        <v>8</v>
      </c>
      <c r="W358" s="67">
        <v>1</v>
      </c>
      <c r="X358"/>
    </row>
    <row r="359" spans="1:24" ht="15" x14ac:dyDescent="0.25">
      <c r="A359" s="40"/>
      <c r="B359" s="35" t="s">
        <v>176</v>
      </c>
      <c r="C359" s="35">
        <v>53343</v>
      </c>
      <c r="D359" s="35" t="s">
        <v>187</v>
      </c>
      <c r="E359" s="35">
        <v>5627</v>
      </c>
      <c r="F359" s="35" t="s">
        <v>71</v>
      </c>
      <c r="G359" s="43">
        <v>2</v>
      </c>
      <c r="H359" s="44">
        <v>0</v>
      </c>
      <c r="I359" s="44">
        <v>0</v>
      </c>
      <c r="J359" s="44">
        <v>0</v>
      </c>
      <c r="K359" s="44">
        <v>0</v>
      </c>
      <c r="L359" s="44">
        <v>0</v>
      </c>
      <c r="M359" s="44">
        <v>0</v>
      </c>
      <c r="N359" s="44">
        <v>0</v>
      </c>
      <c r="O359" s="44">
        <v>0</v>
      </c>
      <c r="P359" s="44">
        <v>2</v>
      </c>
      <c r="Q359" s="44">
        <v>0</v>
      </c>
      <c r="R359" s="44">
        <v>0</v>
      </c>
      <c r="S359" s="44">
        <v>0</v>
      </c>
      <c r="T359" s="44">
        <v>0</v>
      </c>
      <c r="U359" s="44">
        <v>0</v>
      </c>
      <c r="V359" s="44">
        <v>2</v>
      </c>
      <c r="W359" s="39">
        <v>1</v>
      </c>
      <c r="X359"/>
    </row>
    <row r="360" spans="1:24" ht="15" x14ac:dyDescent="0.25">
      <c r="A360" s="40"/>
      <c r="B360" s="40"/>
      <c r="C360" s="40"/>
      <c r="D360" s="63" t="s">
        <v>293</v>
      </c>
      <c r="E360" s="64"/>
      <c r="F360" s="64"/>
      <c r="G360" s="65">
        <v>2</v>
      </c>
      <c r="H360" s="66">
        <v>0</v>
      </c>
      <c r="I360" s="66">
        <v>0</v>
      </c>
      <c r="J360" s="66">
        <v>0</v>
      </c>
      <c r="K360" s="66">
        <v>0</v>
      </c>
      <c r="L360" s="66">
        <v>0</v>
      </c>
      <c r="M360" s="66">
        <v>0</v>
      </c>
      <c r="N360" s="66">
        <v>0</v>
      </c>
      <c r="O360" s="66">
        <v>0</v>
      </c>
      <c r="P360" s="66">
        <v>2</v>
      </c>
      <c r="Q360" s="66">
        <v>0</v>
      </c>
      <c r="R360" s="66">
        <v>0</v>
      </c>
      <c r="S360" s="66">
        <v>0</v>
      </c>
      <c r="T360" s="66">
        <v>0</v>
      </c>
      <c r="U360" s="66">
        <v>0</v>
      </c>
      <c r="V360" s="66">
        <v>2</v>
      </c>
      <c r="W360" s="67">
        <v>1</v>
      </c>
      <c r="X360"/>
    </row>
    <row r="361" spans="1:24" ht="15" x14ac:dyDescent="0.25">
      <c r="A361" s="40"/>
      <c r="B361" s="35" t="s">
        <v>129</v>
      </c>
      <c r="C361" s="35" t="s">
        <v>128</v>
      </c>
      <c r="D361" s="35" t="s">
        <v>214</v>
      </c>
      <c r="E361" s="35">
        <v>6086</v>
      </c>
      <c r="F361" s="35" t="s">
        <v>71</v>
      </c>
      <c r="G361" s="43">
        <v>214</v>
      </c>
      <c r="H361" s="44">
        <v>0</v>
      </c>
      <c r="I361" s="44">
        <v>48</v>
      </c>
      <c r="J361" s="44">
        <v>9</v>
      </c>
      <c r="K361" s="44">
        <v>14</v>
      </c>
      <c r="L361" s="44">
        <v>3</v>
      </c>
      <c r="M361" s="44">
        <v>4</v>
      </c>
      <c r="N361" s="44">
        <v>14</v>
      </c>
      <c r="O361" s="44">
        <v>17</v>
      </c>
      <c r="P361" s="44">
        <v>17</v>
      </c>
      <c r="Q361" s="44">
        <v>14</v>
      </c>
      <c r="R361" s="44">
        <v>38</v>
      </c>
      <c r="S361" s="44">
        <v>22</v>
      </c>
      <c r="T361" s="44">
        <v>6</v>
      </c>
      <c r="U361" s="44">
        <v>8</v>
      </c>
      <c r="V361" s="44">
        <v>214</v>
      </c>
      <c r="W361" s="39">
        <v>1</v>
      </c>
      <c r="X361"/>
    </row>
    <row r="362" spans="1:24" ht="15" x14ac:dyDescent="0.25">
      <c r="A362" s="40"/>
      <c r="B362" s="40"/>
      <c r="C362" s="40"/>
      <c r="D362" s="63" t="s">
        <v>301</v>
      </c>
      <c r="E362" s="64"/>
      <c r="F362" s="64"/>
      <c r="G362" s="65">
        <v>214</v>
      </c>
      <c r="H362" s="66">
        <v>0</v>
      </c>
      <c r="I362" s="66">
        <v>48</v>
      </c>
      <c r="J362" s="66">
        <v>9</v>
      </c>
      <c r="K362" s="66">
        <v>14</v>
      </c>
      <c r="L362" s="66">
        <v>3</v>
      </c>
      <c r="M362" s="66">
        <v>4</v>
      </c>
      <c r="N362" s="66">
        <v>14</v>
      </c>
      <c r="O362" s="66">
        <v>17</v>
      </c>
      <c r="P362" s="66">
        <v>17</v>
      </c>
      <c r="Q362" s="66">
        <v>14</v>
      </c>
      <c r="R362" s="66">
        <v>38</v>
      </c>
      <c r="S362" s="66">
        <v>22</v>
      </c>
      <c r="T362" s="66">
        <v>6</v>
      </c>
      <c r="U362" s="66">
        <v>8</v>
      </c>
      <c r="V362" s="66">
        <v>214</v>
      </c>
      <c r="W362" s="67">
        <v>1</v>
      </c>
      <c r="X362"/>
    </row>
    <row r="363" spans="1:24" ht="15" x14ac:dyDescent="0.25">
      <c r="A363" s="40"/>
      <c r="B363" s="40"/>
      <c r="C363" s="40"/>
      <c r="D363" s="35" t="s">
        <v>263</v>
      </c>
      <c r="E363" s="35">
        <v>5653</v>
      </c>
      <c r="F363" s="35" t="s">
        <v>71</v>
      </c>
      <c r="G363" s="43">
        <v>213</v>
      </c>
      <c r="H363" s="44">
        <v>0</v>
      </c>
      <c r="I363" s="44">
        <v>53</v>
      </c>
      <c r="J363" s="44">
        <v>14</v>
      </c>
      <c r="K363" s="44">
        <v>10</v>
      </c>
      <c r="L363" s="44">
        <v>14</v>
      </c>
      <c r="M363" s="44">
        <v>16</v>
      </c>
      <c r="N363" s="44">
        <v>10</v>
      </c>
      <c r="O363" s="44">
        <v>8</v>
      </c>
      <c r="P363" s="44">
        <v>11</v>
      </c>
      <c r="Q363" s="44">
        <v>7</v>
      </c>
      <c r="R363" s="44">
        <v>20</v>
      </c>
      <c r="S363" s="44">
        <v>21</v>
      </c>
      <c r="T363" s="44">
        <v>14</v>
      </c>
      <c r="U363" s="44">
        <v>15</v>
      </c>
      <c r="V363" s="44">
        <v>213</v>
      </c>
      <c r="W363" s="39">
        <v>1</v>
      </c>
      <c r="X363"/>
    </row>
    <row r="364" spans="1:24" ht="15" x14ac:dyDescent="0.25">
      <c r="A364" s="40"/>
      <c r="B364" s="40"/>
      <c r="C364" s="40"/>
      <c r="D364" s="63" t="s">
        <v>310</v>
      </c>
      <c r="E364" s="64"/>
      <c r="F364" s="64"/>
      <c r="G364" s="65">
        <v>213</v>
      </c>
      <c r="H364" s="66">
        <v>0</v>
      </c>
      <c r="I364" s="66">
        <v>53</v>
      </c>
      <c r="J364" s="66">
        <v>14</v>
      </c>
      <c r="K364" s="66">
        <v>10</v>
      </c>
      <c r="L364" s="66">
        <v>14</v>
      </c>
      <c r="M364" s="66">
        <v>16</v>
      </c>
      <c r="N364" s="66">
        <v>10</v>
      </c>
      <c r="O364" s="66">
        <v>8</v>
      </c>
      <c r="P364" s="66">
        <v>11</v>
      </c>
      <c r="Q364" s="66">
        <v>7</v>
      </c>
      <c r="R364" s="66">
        <v>20</v>
      </c>
      <c r="S364" s="66">
        <v>21</v>
      </c>
      <c r="T364" s="66">
        <v>14</v>
      </c>
      <c r="U364" s="66">
        <v>15</v>
      </c>
      <c r="V364" s="66">
        <v>213</v>
      </c>
      <c r="W364" s="67">
        <v>1</v>
      </c>
      <c r="X364"/>
    </row>
    <row r="365" spans="1:24" ht="15" x14ac:dyDescent="0.25">
      <c r="A365" s="40"/>
      <c r="B365" s="35" t="s">
        <v>177</v>
      </c>
      <c r="C365" s="35">
        <v>53344</v>
      </c>
      <c r="D365" s="35" t="s">
        <v>220</v>
      </c>
      <c r="E365" s="35">
        <v>6089</v>
      </c>
      <c r="F365" s="35" t="s">
        <v>71</v>
      </c>
      <c r="G365" s="43">
        <v>8</v>
      </c>
      <c r="H365" s="44">
        <v>0</v>
      </c>
      <c r="I365" s="44">
        <v>0</v>
      </c>
      <c r="J365" s="44">
        <v>0</v>
      </c>
      <c r="K365" s="44">
        <v>0</v>
      </c>
      <c r="L365" s="44">
        <v>0</v>
      </c>
      <c r="M365" s="44">
        <v>0</v>
      </c>
      <c r="N365" s="44">
        <v>0</v>
      </c>
      <c r="O365" s="44">
        <v>0</v>
      </c>
      <c r="P365" s="44">
        <v>8</v>
      </c>
      <c r="Q365" s="44">
        <v>0</v>
      </c>
      <c r="R365" s="44">
        <v>0</v>
      </c>
      <c r="S365" s="44">
        <v>0</v>
      </c>
      <c r="T365" s="44">
        <v>0</v>
      </c>
      <c r="U365" s="44">
        <v>0</v>
      </c>
      <c r="V365" s="44">
        <v>8</v>
      </c>
      <c r="W365" s="39">
        <v>1</v>
      </c>
      <c r="X365"/>
    </row>
    <row r="366" spans="1:24" ht="15" x14ac:dyDescent="0.25">
      <c r="A366" s="40"/>
      <c r="B366" s="40"/>
      <c r="C366" s="40"/>
      <c r="D366" s="63" t="s">
        <v>295</v>
      </c>
      <c r="E366" s="64"/>
      <c r="F366" s="64"/>
      <c r="G366" s="65">
        <v>8</v>
      </c>
      <c r="H366" s="66">
        <v>0</v>
      </c>
      <c r="I366" s="66">
        <v>0</v>
      </c>
      <c r="J366" s="66">
        <v>0</v>
      </c>
      <c r="K366" s="66">
        <v>0</v>
      </c>
      <c r="L366" s="66">
        <v>0</v>
      </c>
      <c r="M366" s="66">
        <v>0</v>
      </c>
      <c r="N366" s="66">
        <v>0</v>
      </c>
      <c r="O366" s="66">
        <v>0</v>
      </c>
      <c r="P366" s="66">
        <v>8</v>
      </c>
      <c r="Q366" s="66">
        <v>0</v>
      </c>
      <c r="R366" s="66">
        <v>0</v>
      </c>
      <c r="S366" s="66">
        <v>0</v>
      </c>
      <c r="T366" s="66">
        <v>0</v>
      </c>
      <c r="U366" s="66">
        <v>0</v>
      </c>
      <c r="V366" s="66">
        <v>8</v>
      </c>
      <c r="W366" s="67">
        <v>1</v>
      </c>
      <c r="X366"/>
    </row>
    <row r="367" spans="1:24" ht="15" x14ac:dyDescent="0.25">
      <c r="A367" s="40"/>
      <c r="B367" s="35" t="s">
        <v>288</v>
      </c>
      <c r="C367" s="35" t="s">
        <v>288</v>
      </c>
      <c r="D367" s="35" t="s">
        <v>244</v>
      </c>
      <c r="E367" s="35">
        <v>6089</v>
      </c>
      <c r="F367" s="35" t="s">
        <v>71</v>
      </c>
      <c r="G367" s="43">
        <v>8</v>
      </c>
      <c r="H367" s="44">
        <v>0</v>
      </c>
      <c r="I367" s="44">
        <v>0</v>
      </c>
      <c r="J367" s="44">
        <v>0</v>
      </c>
      <c r="K367" s="44">
        <v>0</v>
      </c>
      <c r="L367" s="44">
        <v>0</v>
      </c>
      <c r="M367" s="44">
        <v>0</v>
      </c>
      <c r="N367" s="44">
        <v>0</v>
      </c>
      <c r="O367" s="44">
        <v>0</v>
      </c>
      <c r="P367" s="44">
        <v>0</v>
      </c>
      <c r="Q367" s="44">
        <v>0</v>
      </c>
      <c r="R367" s="44">
        <v>0</v>
      </c>
      <c r="S367" s="44">
        <v>0</v>
      </c>
      <c r="T367" s="44">
        <v>8</v>
      </c>
      <c r="U367" s="44">
        <v>0</v>
      </c>
      <c r="V367" s="44">
        <v>8</v>
      </c>
      <c r="W367" s="39">
        <v>1</v>
      </c>
      <c r="X367"/>
    </row>
    <row r="368" spans="1:24" ht="15" x14ac:dyDescent="0.25">
      <c r="A368" s="40"/>
      <c r="B368" s="40"/>
      <c r="C368" s="40"/>
      <c r="D368" s="63" t="s">
        <v>308</v>
      </c>
      <c r="E368" s="64"/>
      <c r="F368" s="64"/>
      <c r="G368" s="65">
        <v>8</v>
      </c>
      <c r="H368" s="66">
        <v>0</v>
      </c>
      <c r="I368" s="66">
        <v>0</v>
      </c>
      <c r="J368" s="66">
        <v>0</v>
      </c>
      <c r="K368" s="66">
        <v>0</v>
      </c>
      <c r="L368" s="66">
        <v>0</v>
      </c>
      <c r="M368" s="66">
        <v>0</v>
      </c>
      <c r="N368" s="66">
        <v>0</v>
      </c>
      <c r="O368" s="66">
        <v>0</v>
      </c>
      <c r="P368" s="66">
        <v>0</v>
      </c>
      <c r="Q368" s="66">
        <v>0</v>
      </c>
      <c r="R368" s="66">
        <v>0</v>
      </c>
      <c r="S368" s="66">
        <v>0</v>
      </c>
      <c r="T368" s="66">
        <v>8</v>
      </c>
      <c r="U368" s="66">
        <v>0</v>
      </c>
      <c r="V368" s="66">
        <v>8</v>
      </c>
      <c r="W368" s="67">
        <v>1</v>
      </c>
      <c r="X368"/>
    </row>
    <row r="369" spans="1:24" ht="15" x14ac:dyDescent="0.25">
      <c r="A369" s="40"/>
      <c r="B369" s="35" t="s">
        <v>290</v>
      </c>
      <c r="C369" s="35">
        <v>52642</v>
      </c>
      <c r="D369" s="35" t="s">
        <v>289</v>
      </c>
      <c r="E369" s="35">
        <v>6096</v>
      </c>
      <c r="F369" s="35" t="s">
        <v>71</v>
      </c>
      <c r="G369" s="43">
        <v>28</v>
      </c>
      <c r="H369" s="44">
        <v>0</v>
      </c>
      <c r="I369" s="44">
        <v>0</v>
      </c>
      <c r="J369" s="44">
        <v>0</v>
      </c>
      <c r="K369" s="44">
        <v>0</v>
      </c>
      <c r="L369" s="44">
        <v>0</v>
      </c>
      <c r="M369" s="44">
        <v>14</v>
      </c>
      <c r="N369" s="44">
        <v>14</v>
      </c>
      <c r="O369" s="44">
        <v>0</v>
      </c>
      <c r="P369" s="44">
        <v>0</v>
      </c>
      <c r="Q369" s="44">
        <v>0</v>
      </c>
      <c r="R369" s="44">
        <v>0</v>
      </c>
      <c r="S369" s="44">
        <v>0</v>
      </c>
      <c r="T369" s="44">
        <v>0</v>
      </c>
      <c r="U369" s="44">
        <v>0</v>
      </c>
      <c r="V369" s="44">
        <v>28</v>
      </c>
      <c r="W369" s="39">
        <v>1</v>
      </c>
      <c r="X369"/>
    </row>
    <row r="370" spans="1:24" ht="15" x14ac:dyDescent="0.25">
      <c r="A370" s="40"/>
      <c r="B370" s="40"/>
      <c r="C370" s="40"/>
      <c r="D370" s="63" t="s">
        <v>312</v>
      </c>
      <c r="E370" s="64"/>
      <c r="F370" s="64"/>
      <c r="G370" s="65">
        <v>28</v>
      </c>
      <c r="H370" s="66">
        <v>0</v>
      </c>
      <c r="I370" s="66">
        <v>0</v>
      </c>
      <c r="J370" s="66">
        <v>0</v>
      </c>
      <c r="K370" s="66">
        <v>0</v>
      </c>
      <c r="L370" s="66">
        <v>0</v>
      </c>
      <c r="M370" s="66">
        <v>14</v>
      </c>
      <c r="N370" s="66">
        <v>14</v>
      </c>
      <c r="O370" s="66">
        <v>0</v>
      </c>
      <c r="P370" s="66">
        <v>0</v>
      </c>
      <c r="Q370" s="66">
        <v>0</v>
      </c>
      <c r="R370" s="66">
        <v>0</v>
      </c>
      <c r="S370" s="66">
        <v>0</v>
      </c>
      <c r="T370" s="66">
        <v>0</v>
      </c>
      <c r="U370" s="66">
        <v>0</v>
      </c>
      <c r="V370" s="66">
        <v>28</v>
      </c>
      <c r="W370" s="67">
        <v>1</v>
      </c>
      <c r="X370"/>
    </row>
    <row r="371" spans="1:24" ht="15" x14ac:dyDescent="0.25">
      <c r="A371" s="47" t="s">
        <v>77</v>
      </c>
      <c r="B371" s="57"/>
      <c r="C371" s="57"/>
      <c r="D371" s="57"/>
      <c r="E371" s="57"/>
      <c r="F371" s="57"/>
      <c r="G371" s="58">
        <v>8236</v>
      </c>
      <c r="H371" s="59">
        <v>0</v>
      </c>
      <c r="I371" s="59">
        <v>101</v>
      </c>
      <c r="J371" s="59">
        <v>1454</v>
      </c>
      <c r="K371" s="59">
        <v>181</v>
      </c>
      <c r="L371" s="59">
        <v>17</v>
      </c>
      <c r="M371" s="59">
        <v>1618</v>
      </c>
      <c r="N371" s="59">
        <v>38</v>
      </c>
      <c r="O371" s="59">
        <v>25</v>
      </c>
      <c r="P371" s="59">
        <v>38</v>
      </c>
      <c r="Q371" s="59">
        <v>21</v>
      </c>
      <c r="R371" s="59">
        <v>4320</v>
      </c>
      <c r="S371" s="59">
        <v>46</v>
      </c>
      <c r="T371" s="59">
        <v>40</v>
      </c>
      <c r="U371" s="59">
        <v>23</v>
      </c>
      <c r="V371" s="59">
        <v>7922</v>
      </c>
      <c r="W371" s="60">
        <v>0.96187469645458956</v>
      </c>
      <c r="X371"/>
    </row>
    <row r="372" spans="1:24" ht="15" x14ac:dyDescent="0.25">
      <c r="A372" s="35" t="s">
        <v>148</v>
      </c>
      <c r="B372" s="35" t="s">
        <v>272</v>
      </c>
      <c r="C372" s="35">
        <v>50938</v>
      </c>
      <c r="D372" s="35" t="s">
        <v>263</v>
      </c>
      <c r="E372" s="35">
        <v>5653</v>
      </c>
      <c r="F372" s="35" t="s">
        <v>148</v>
      </c>
      <c r="G372" s="43">
        <v>20</v>
      </c>
      <c r="H372" s="44">
        <v>0</v>
      </c>
      <c r="I372" s="44">
        <v>0</v>
      </c>
      <c r="J372" s="44">
        <v>0</v>
      </c>
      <c r="K372" s="44">
        <v>20</v>
      </c>
      <c r="L372" s="44">
        <v>0</v>
      </c>
      <c r="M372" s="44">
        <v>0</v>
      </c>
      <c r="N372" s="44">
        <v>0</v>
      </c>
      <c r="O372" s="44">
        <v>0</v>
      </c>
      <c r="P372" s="44">
        <v>0</v>
      </c>
      <c r="Q372" s="44">
        <v>0</v>
      </c>
      <c r="R372" s="44">
        <v>0</v>
      </c>
      <c r="S372" s="44">
        <v>0</v>
      </c>
      <c r="T372" s="44">
        <v>0</v>
      </c>
      <c r="U372" s="44">
        <v>0</v>
      </c>
      <c r="V372" s="44">
        <v>20</v>
      </c>
      <c r="W372" s="39">
        <v>1</v>
      </c>
      <c r="X372"/>
    </row>
    <row r="373" spans="1:24" ht="15" x14ac:dyDescent="0.25">
      <c r="A373" s="40"/>
      <c r="B373" s="40"/>
      <c r="C373" s="40"/>
      <c r="D373" s="63" t="s">
        <v>310</v>
      </c>
      <c r="E373" s="64"/>
      <c r="F373" s="64"/>
      <c r="G373" s="65">
        <v>20</v>
      </c>
      <c r="H373" s="66">
        <v>0</v>
      </c>
      <c r="I373" s="66">
        <v>0</v>
      </c>
      <c r="J373" s="66">
        <v>0</v>
      </c>
      <c r="K373" s="66">
        <v>20</v>
      </c>
      <c r="L373" s="66">
        <v>0</v>
      </c>
      <c r="M373" s="66">
        <v>0</v>
      </c>
      <c r="N373" s="66">
        <v>0</v>
      </c>
      <c r="O373" s="66">
        <v>0</v>
      </c>
      <c r="P373" s="66">
        <v>0</v>
      </c>
      <c r="Q373" s="66">
        <v>0</v>
      </c>
      <c r="R373" s="66">
        <v>0</v>
      </c>
      <c r="S373" s="66">
        <v>0</v>
      </c>
      <c r="T373" s="66">
        <v>0</v>
      </c>
      <c r="U373" s="66">
        <v>0</v>
      </c>
      <c r="V373" s="66">
        <v>20</v>
      </c>
      <c r="W373" s="67">
        <v>1</v>
      </c>
      <c r="X373"/>
    </row>
    <row r="374" spans="1:24" ht="15" x14ac:dyDescent="0.25">
      <c r="A374" s="47" t="s">
        <v>156</v>
      </c>
      <c r="B374" s="57"/>
      <c r="C374" s="57"/>
      <c r="D374" s="57"/>
      <c r="E374" s="57"/>
      <c r="F374" s="57"/>
      <c r="G374" s="58">
        <v>20</v>
      </c>
      <c r="H374" s="59">
        <v>0</v>
      </c>
      <c r="I374" s="59">
        <v>0</v>
      </c>
      <c r="J374" s="59">
        <v>0</v>
      </c>
      <c r="K374" s="59">
        <v>20</v>
      </c>
      <c r="L374" s="59">
        <v>0</v>
      </c>
      <c r="M374" s="59">
        <v>0</v>
      </c>
      <c r="N374" s="59">
        <v>0</v>
      </c>
      <c r="O374" s="59">
        <v>0</v>
      </c>
      <c r="P374" s="59">
        <v>0</v>
      </c>
      <c r="Q374" s="59">
        <v>0</v>
      </c>
      <c r="R374" s="59">
        <v>0</v>
      </c>
      <c r="S374" s="59">
        <v>0</v>
      </c>
      <c r="T374" s="59">
        <v>0</v>
      </c>
      <c r="U374" s="59">
        <v>0</v>
      </c>
      <c r="V374" s="59">
        <v>20</v>
      </c>
      <c r="W374" s="60">
        <v>1</v>
      </c>
      <c r="X374"/>
    </row>
    <row r="375" spans="1:24" ht="15" x14ac:dyDescent="0.25">
      <c r="A375" s="35" t="s">
        <v>123</v>
      </c>
      <c r="B375" s="35" t="s">
        <v>274</v>
      </c>
      <c r="C375" s="35">
        <v>53547</v>
      </c>
      <c r="D375" s="35" t="s">
        <v>194</v>
      </c>
      <c r="E375" s="35">
        <v>5613</v>
      </c>
      <c r="F375" s="35" t="s">
        <v>273</v>
      </c>
      <c r="G375" s="43">
        <v>1</v>
      </c>
      <c r="H375" s="44">
        <v>0</v>
      </c>
      <c r="I375" s="44">
        <v>0</v>
      </c>
      <c r="J375" s="44">
        <v>0</v>
      </c>
      <c r="K375" s="44">
        <v>0</v>
      </c>
      <c r="L375" s="44">
        <v>0</v>
      </c>
      <c r="M375" s="44">
        <v>0</v>
      </c>
      <c r="N375" s="44">
        <v>0</v>
      </c>
      <c r="O375" s="44">
        <v>0</v>
      </c>
      <c r="P375" s="44">
        <v>1</v>
      </c>
      <c r="Q375" s="44">
        <v>0</v>
      </c>
      <c r="R375" s="44">
        <v>0</v>
      </c>
      <c r="S375" s="44">
        <v>0</v>
      </c>
      <c r="T375" s="44">
        <v>0</v>
      </c>
      <c r="U375" s="44">
        <v>0</v>
      </c>
      <c r="V375" s="44">
        <v>1</v>
      </c>
      <c r="W375" s="39">
        <v>1</v>
      </c>
      <c r="X375"/>
    </row>
    <row r="376" spans="1:24" ht="15" x14ac:dyDescent="0.25">
      <c r="A376" s="40"/>
      <c r="B376" s="40"/>
      <c r="C376" s="40"/>
      <c r="D376" s="63" t="s">
        <v>291</v>
      </c>
      <c r="E376" s="64"/>
      <c r="F376" s="64"/>
      <c r="G376" s="65">
        <v>1</v>
      </c>
      <c r="H376" s="66">
        <v>0</v>
      </c>
      <c r="I376" s="66">
        <v>0</v>
      </c>
      <c r="J376" s="66">
        <v>0</v>
      </c>
      <c r="K376" s="66">
        <v>0</v>
      </c>
      <c r="L376" s="66">
        <v>0</v>
      </c>
      <c r="M376" s="66">
        <v>0</v>
      </c>
      <c r="N376" s="66">
        <v>0</v>
      </c>
      <c r="O376" s="66">
        <v>0</v>
      </c>
      <c r="P376" s="66">
        <v>1</v>
      </c>
      <c r="Q376" s="66">
        <v>0</v>
      </c>
      <c r="R376" s="66">
        <v>0</v>
      </c>
      <c r="S376" s="66">
        <v>0</v>
      </c>
      <c r="T376" s="66">
        <v>0</v>
      </c>
      <c r="U376" s="66">
        <v>0</v>
      </c>
      <c r="V376" s="66">
        <v>1</v>
      </c>
      <c r="W376" s="67">
        <v>1</v>
      </c>
      <c r="X376"/>
    </row>
    <row r="377" spans="1:24" ht="15" x14ac:dyDescent="0.25">
      <c r="A377" s="40"/>
      <c r="B377" s="35" t="s">
        <v>124</v>
      </c>
      <c r="C377" s="35">
        <v>59</v>
      </c>
      <c r="D377" s="35" t="s">
        <v>212</v>
      </c>
      <c r="E377" s="35">
        <v>5632</v>
      </c>
      <c r="F377" s="35" t="s">
        <v>123</v>
      </c>
      <c r="G377" s="43">
        <v>208</v>
      </c>
      <c r="H377" s="44">
        <v>0</v>
      </c>
      <c r="I377" s="44">
        <v>0</v>
      </c>
      <c r="J377" s="44">
        <v>0</v>
      </c>
      <c r="K377" s="44">
        <v>0</v>
      </c>
      <c r="L377" s="44">
        <v>0</v>
      </c>
      <c r="M377" s="44">
        <v>0</v>
      </c>
      <c r="N377" s="44">
        <v>0</v>
      </c>
      <c r="O377" s="44">
        <v>0</v>
      </c>
      <c r="P377" s="44">
        <v>67</v>
      </c>
      <c r="Q377" s="44">
        <v>69</v>
      </c>
      <c r="R377" s="44">
        <v>0</v>
      </c>
      <c r="S377" s="44">
        <v>72</v>
      </c>
      <c r="T377" s="44">
        <v>0</v>
      </c>
      <c r="U377" s="44">
        <v>0</v>
      </c>
      <c r="V377" s="44">
        <v>208</v>
      </c>
      <c r="W377" s="39">
        <v>1</v>
      </c>
      <c r="X377"/>
    </row>
    <row r="378" spans="1:24" ht="15" x14ac:dyDescent="0.25">
      <c r="A378" s="40"/>
      <c r="B378" s="40"/>
      <c r="C378" s="40"/>
      <c r="D378" s="63" t="s">
        <v>307</v>
      </c>
      <c r="E378" s="64"/>
      <c r="F378" s="64"/>
      <c r="G378" s="65">
        <v>208</v>
      </c>
      <c r="H378" s="66">
        <v>0</v>
      </c>
      <c r="I378" s="66">
        <v>0</v>
      </c>
      <c r="J378" s="66">
        <v>0</v>
      </c>
      <c r="K378" s="66">
        <v>0</v>
      </c>
      <c r="L378" s="66">
        <v>0</v>
      </c>
      <c r="M378" s="66">
        <v>0</v>
      </c>
      <c r="N378" s="66">
        <v>0</v>
      </c>
      <c r="O378" s="66">
        <v>0</v>
      </c>
      <c r="P378" s="66">
        <v>67</v>
      </c>
      <c r="Q378" s="66">
        <v>69</v>
      </c>
      <c r="R378" s="66">
        <v>0</v>
      </c>
      <c r="S378" s="66">
        <v>72</v>
      </c>
      <c r="T378" s="66">
        <v>0</v>
      </c>
      <c r="U378" s="66">
        <v>0</v>
      </c>
      <c r="V378" s="66">
        <v>208</v>
      </c>
      <c r="W378" s="67">
        <v>1</v>
      </c>
      <c r="X378"/>
    </row>
    <row r="379" spans="1:24" ht="15" x14ac:dyDescent="0.25">
      <c r="A379" s="40"/>
      <c r="B379" s="40"/>
      <c r="C379" s="40"/>
      <c r="D379" s="35" t="s">
        <v>221</v>
      </c>
      <c r="E379" s="35">
        <v>5452</v>
      </c>
      <c r="F379" s="35" t="s">
        <v>123</v>
      </c>
      <c r="G379" s="43">
        <v>144</v>
      </c>
      <c r="H379" s="44">
        <v>0</v>
      </c>
      <c r="I379" s="44">
        <v>0</v>
      </c>
      <c r="J379" s="44">
        <v>0</v>
      </c>
      <c r="K379" s="44">
        <v>0</v>
      </c>
      <c r="L379" s="44">
        <v>0</v>
      </c>
      <c r="M379" s="44">
        <v>0</v>
      </c>
      <c r="N379" s="44">
        <v>0</v>
      </c>
      <c r="O379" s="44">
        <v>0</v>
      </c>
      <c r="P379" s="44">
        <v>32</v>
      </c>
      <c r="Q379" s="44">
        <v>48</v>
      </c>
      <c r="R379" s="44">
        <v>0</v>
      </c>
      <c r="S379" s="44">
        <v>64</v>
      </c>
      <c r="T379" s="44">
        <v>0</v>
      </c>
      <c r="U379" s="44">
        <v>0</v>
      </c>
      <c r="V379" s="44">
        <v>144</v>
      </c>
      <c r="W379" s="39">
        <v>1</v>
      </c>
      <c r="X379"/>
    </row>
    <row r="380" spans="1:24" ht="15" x14ac:dyDescent="0.25">
      <c r="A380" s="40"/>
      <c r="B380" s="40"/>
      <c r="C380" s="40"/>
      <c r="D380" s="63" t="s">
        <v>297</v>
      </c>
      <c r="E380" s="64"/>
      <c r="F380" s="64"/>
      <c r="G380" s="65">
        <v>144</v>
      </c>
      <c r="H380" s="66">
        <v>0</v>
      </c>
      <c r="I380" s="66">
        <v>0</v>
      </c>
      <c r="J380" s="66">
        <v>0</v>
      </c>
      <c r="K380" s="66">
        <v>0</v>
      </c>
      <c r="L380" s="66">
        <v>0</v>
      </c>
      <c r="M380" s="66">
        <v>0</v>
      </c>
      <c r="N380" s="66">
        <v>0</v>
      </c>
      <c r="O380" s="66">
        <v>0</v>
      </c>
      <c r="P380" s="66">
        <v>32</v>
      </c>
      <c r="Q380" s="66">
        <v>48</v>
      </c>
      <c r="R380" s="66">
        <v>0</v>
      </c>
      <c r="S380" s="66">
        <v>64</v>
      </c>
      <c r="T380" s="66">
        <v>0</v>
      </c>
      <c r="U380" s="66">
        <v>0</v>
      </c>
      <c r="V380" s="66">
        <v>144</v>
      </c>
      <c r="W380" s="67">
        <v>1</v>
      </c>
      <c r="X380"/>
    </row>
    <row r="381" spans="1:24" ht="15" x14ac:dyDescent="0.25">
      <c r="A381" s="40"/>
      <c r="B381" s="40"/>
      <c r="C381" s="40"/>
      <c r="D381" s="35" t="s">
        <v>259</v>
      </c>
      <c r="E381" s="35">
        <v>5633</v>
      </c>
      <c r="F381" s="35" t="s">
        <v>123</v>
      </c>
      <c r="G381" s="43">
        <v>64</v>
      </c>
      <c r="H381" s="44">
        <v>0</v>
      </c>
      <c r="I381" s="44">
        <v>0</v>
      </c>
      <c r="J381" s="44">
        <v>0</v>
      </c>
      <c r="K381" s="44">
        <v>0</v>
      </c>
      <c r="L381" s="44">
        <v>0</v>
      </c>
      <c r="M381" s="44">
        <v>0</v>
      </c>
      <c r="N381" s="44">
        <v>0</v>
      </c>
      <c r="O381" s="44">
        <v>0</v>
      </c>
      <c r="P381" s="44">
        <v>21</v>
      </c>
      <c r="Q381" s="44">
        <v>21</v>
      </c>
      <c r="R381" s="44">
        <v>0</v>
      </c>
      <c r="S381" s="44">
        <v>22</v>
      </c>
      <c r="T381" s="44">
        <v>0</v>
      </c>
      <c r="U381" s="44">
        <v>0</v>
      </c>
      <c r="V381" s="44">
        <v>64</v>
      </c>
      <c r="W381" s="39">
        <v>1</v>
      </c>
      <c r="X381"/>
    </row>
    <row r="382" spans="1:24" ht="15" x14ac:dyDescent="0.25">
      <c r="A382" s="40"/>
      <c r="B382" s="40"/>
      <c r="C382" s="40"/>
      <c r="D382" s="63" t="s">
        <v>309</v>
      </c>
      <c r="E382" s="64"/>
      <c r="F382" s="64"/>
      <c r="G382" s="65">
        <v>64</v>
      </c>
      <c r="H382" s="66">
        <v>0</v>
      </c>
      <c r="I382" s="66">
        <v>0</v>
      </c>
      <c r="J382" s="66">
        <v>0</v>
      </c>
      <c r="K382" s="66">
        <v>0</v>
      </c>
      <c r="L382" s="66">
        <v>0</v>
      </c>
      <c r="M382" s="66">
        <v>0</v>
      </c>
      <c r="N382" s="66">
        <v>0</v>
      </c>
      <c r="O382" s="66">
        <v>0</v>
      </c>
      <c r="P382" s="66">
        <v>21</v>
      </c>
      <c r="Q382" s="66">
        <v>21</v>
      </c>
      <c r="R382" s="66">
        <v>0</v>
      </c>
      <c r="S382" s="66">
        <v>22</v>
      </c>
      <c r="T382" s="66">
        <v>0</v>
      </c>
      <c r="U382" s="66">
        <v>0</v>
      </c>
      <c r="V382" s="66">
        <v>64</v>
      </c>
      <c r="W382" s="67">
        <v>1</v>
      </c>
      <c r="X382"/>
    </row>
    <row r="383" spans="1:24" ht="15" x14ac:dyDescent="0.25">
      <c r="A383" s="40"/>
      <c r="B383" s="40"/>
      <c r="C383" s="40"/>
      <c r="D383" s="35" t="s">
        <v>263</v>
      </c>
      <c r="E383" s="35">
        <v>5653</v>
      </c>
      <c r="F383" s="35" t="s">
        <v>123</v>
      </c>
      <c r="G383" s="43">
        <v>96</v>
      </c>
      <c r="H383" s="44">
        <v>0</v>
      </c>
      <c r="I383" s="44">
        <v>0</v>
      </c>
      <c r="J383" s="44">
        <v>0</v>
      </c>
      <c r="K383" s="44">
        <v>0</v>
      </c>
      <c r="L383" s="44">
        <v>0</v>
      </c>
      <c r="M383" s="44">
        <v>0</v>
      </c>
      <c r="N383" s="44">
        <v>0</v>
      </c>
      <c r="O383" s="44">
        <v>0</v>
      </c>
      <c r="P383" s="44">
        <v>30</v>
      </c>
      <c r="Q383" s="44">
        <v>32</v>
      </c>
      <c r="R383" s="44">
        <v>0</v>
      </c>
      <c r="S383" s="44">
        <v>34</v>
      </c>
      <c r="T383" s="44">
        <v>0</v>
      </c>
      <c r="U383" s="44">
        <v>0</v>
      </c>
      <c r="V383" s="44">
        <v>96</v>
      </c>
      <c r="W383" s="39">
        <v>1</v>
      </c>
      <c r="X383"/>
    </row>
    <row r="384" spans="1:24" ht="15" x14ac:dyDescent="0.25">
      <c r="A384" s="40"/>
      <c r="B384" s="40"/>
      <c r="C384" s="40"/>
      <c r="D384" s="63" t="s">
        <v>310</v>
      </c>
      <c r="E384" s="64"/>
      <c r="F384" s="64"/>
      <c r="G384" s="65">
        <v>96</v>
      </c>
      <c r="H384" s="66">
        <v>0</v>
      </c>
      <c r="I384" s="66">
        <v>0</v>
      </c>
      <c r="J384" s="66">
        <v>0</v>
      </c>
      <c r="K384" s="66">
        <v>0</v>
      </c>
      <c r="L384" s="66">
        <v>0</v>
      </c>
      <c r="M384" s="66">
        <v>0</v>
      </c>
      <c r="N384" s="66">
        <v>0</v>
      </c>
      <c r="O384" s="66">
        <v>0</v>
      </c>
      <c r="P384" s="66">
        <v>30</v>
      </c>
      <c r="Q384" s="66">
        <v>32</v>
      </c>
      <c r="R384" s="66">
        <v>0</v>
      </c>
      <c r="S384" s="66">
        <v>34</v>
      </c>
      <c r="T384" s="66">
        <v>0</v>
      </c>
      <c r="U384" s="66">
        <v>0</v>
      </c>
      <c r="V384" s="66">
        <v>96</v>
      </c>
      <c r="W384" s="67">
        <v>1</v>
      </c>
      <c r="X384"/>
    </row>
    <row r="385" spans="1:24" ht="15" x14ac:dyDescent="0.25">
      <c r="A385" s="47" t="s">
        <v>132</v>
      </c>
      <c r="B385" s="57"/>
      <c r="C385" s="57"/>
      <c r="D385" s="57"/>
      <c r="E385" s="57"/>
      <c r="F385" s="57"/>
      <c r="G385" s="58">
        <v>513</v>
      </c>
      <c r="H385" s="59">
        <v>0</v>
      </c>
      <c r="I385" s="59">
        <v>0</v>
      </c>
      <c r="J385" s="59">
        <v>0</v>
      </c>
      <c r="K385" s="59">
        <v>0</v>
      </c>
      <c r="L385" s="59">
        <v>0</v>
      </c>
      <c r="M385" s="59">
        <v>0</v>
      </c>
      <c r="N385" s="59">
        <v>0</v>
      </c>
      <c r="O385" s="59">
        <v>0</v>
      </c>
      <c r="P385" s="59">
        <v>151</v>
      </c>
      <c r="Q385" s="59">
        <v>170</v>
      </c>
      <c r="R385" s="59">
        <v>0</v>
      </c>
      <c r="S385" s="59">
        <v>192</v>
      </c>
      <c r="T385" s="59">
        <v>0</v>
      </c>
      <c r="U385" s="59">
        <v>0</v>
      </c>
      <c r="V385" s="59">
        <v>513</v>
      </c>
      <c r="W385" s="60">
        <v>1</v>
      </c>
      <c r="X385"/>
    </row>
    <row r="386" spans="1:24" ht="15" x14ac:dyDescent="0.25">
      <c r="A386" s="35" t="s">
        <v>275</v>
      </c>
      <c r="B386" s="35" t="s">
        <v>277</v>
      </c>
      <c r="C386" s="35">
        <v>53851</v>
      </c>
      <c r="D386" s="35" t="s">
        <v>191</v>
      </c>
      <c r="E386" s="35">
        <v>5624</v>
      </c>
      <c r="F386" s="35" t="s">
        <v>276</v>
      </c>
      <c r="G386" s="43">
        <v>2</v>
      </c>
      <c r="H386" s="44">
        <v>0</v>
      </c>
      <c r="I386" s="44">
        <v>0</v>
      </c>
      <c r="J386" s="44">
        <v>0</v>
      </c>
      <c r="K386" s="44">
        <v>0</v>
      </c>
      <c r="L386" s="44">
        <v>0</v>
      </c>
      <c r="M386" s="44">
        <v>0</v>
      </c>
      <c r="N386" s="44">
        <v>0</v>
      </c>
      <c r="O386" s="44">
        <v>0</v>
      </c>
      <c r="P386" s="44">
        <v>0</v>
      </c>
      <c r="Q386" s="44">
        <v>2</v>
      </c>
      <c r="R386" s="44">
        <v>0</v>
      </c>
      <c r="S386" s="44">
        <v>0</v>
      </c>
      <c r="T386" s="44">
        <v>0</v>
      </c>
      <c r="U386" s="44">
        <v>0</v>
      </c>
      <c r="V386" s="44">
        <v>2</v>
      </c>
      <c r="W386" s="39">
        <v>1</v>
      </c>
      <c r="X386"/>
    </row>
    <row r="387" spans="1:24" ht="15" x14ac:dyDescent="0.25">
      <c r="A387" s="40"/>
      <c r="B387" s="40"/>
      <c r="C387" s="40"/>
      <c r="D387" s="63" t="s">
        <v>298</v>
      </c>
      <c r="E387" s="64"/>
      <c r="F387" s="64"/>
      <c r="G387" s="65">
        <v>2</v>
      </c>
      <c r="H387" s="66">
        <v>0</v>
      </c>
      <c r="I387" s="66">
        <v>0</v>
      </c>
      <c r="J387" s="66">
        <v>0</v>
      </c>
      <c r="K387" s="66">
        <v>0</v>
      </c>
      <c r="L387" s="66">
        <v>0</v>
      </c>
      <c r="M387" s="66">
        <v>0</v>
      </c>
      <c r="N387" s="66">
        <v>0</v>
      </c>
      <c r="O387" s="66">
        <v>0</v>
      </c>
      <c r="P387" s="66">
        <v>0</v>
      </c>
      <c r="Q387" s="66">
        <v>2</v>
      </c>
      <c r="R387" s="66">
        <v>0</v>
      </c>
      <c r="S387" s="66">
        <v>0</v>
      </c>
      <c r="T387" s="66">
        <v>0</v>
      </c>
      <c r="U387" s="66">
        <v>0</v>
      </c>
      <c r="V387" s="66">
        <v>2</v>
      </c>
      <c r="W387" s="67">
        <v>1</v>
      </c>
      <c r="X387"/>
    </row>
    <row r="388" spans="1:24" ht="15" x14ac:dyDescent="0.25">
      <c r="A388" s="40"/>
      <c r="B388" s="35" t="s">
        <v>278</v>
      </c>
      <c r="C388" s="35">
        <v>1525</v>
      </c>
      <c r="D388" s="35" t="s">
        <v>263</v>
      </c>
      <c r="E388" s="35">
        <v>5653</v>
      </c>
      <c r="F388" s="35" t="s">
        <v>276</v>
      </c>
      <c r="G388" s="43">
        <v>18</v>
      </c>
      <c r="H388" s="44">
        <v>0</v>
      </c>
      <c r="I388" s="44">
        <v>0</v>
      </c>
      <c r="J388" s="44">
        <v>0</v>
      </c>
      <c r="K388" s="44">
        <v>0</v>
      </c>
      <c r="L388" s="44">
        <v>0</v>
      </c>
      <c r="M388" s="44">
        <v>0</v>
      </c>
      <c r="N388" s="44">
        <v>0</v>
      </c>
      <c r="O388" s="44">
        <v>0</v>
      </c>
      <c r="P388" s="44">
        <v>0</v>
      </c>
      <c r="Q388" s="44">
        <v>18</v>
      </c>
      <c r="R388" s="44">
        <v>0</v>
      </c>
      <c r="S388" s="44">
        <v>0</v>
      </c>
      <c r="T388" s="44">
        <v>0</v>
      </c>
      <c r="U388" s="44">
        <v>0</v>
      </c>
      <c r="V388" s="44">
        <v>18</v>
      </c>
      <c r="W388" s="39">
        <v>1</v>
      </c>
      <c r="X388"/>
    </row>
    <row r="389" spans="1:24" ht="15" x14ac:dyDescent="0.25">
      <c r="A389" s="40"/>
      <c r="B389" s="40"/>
      <c r="C389" s="40"/>
      <c r="D389" s="63" t="s">
        <v>310</v>
      </c>
      <c r="E389" s="64"/>
      <c r="F389" s="64"/>
      <c r="G389" s="65">
        <v>18</v>
      </c>
      <c r="H389" s="66">
        <v>0</v>
      </c>
      <c r="I389" s="66">
        <v>0</v>
      </c>
      <c r="J389" s="66">
        <v>0</v>
      </c>
      <c r="K389" s="66">
        <v>0</v>
      </c>
      <c r="L389" s="66">
        <v>0</v>
      </c>
      <c r="M389" s="66">
        <v>0</v>
      </c>
      <c r="N389" s="66">
        <v>0</v>
      </c>
      <c r="O389" s="66">
        <v>0</v>
      </c>
      <c r="P389" s="66">
        <v>0</v>
      </c>
      <c r="Q389" s="66">
        <v>18</v>
      </c>
      <c r="R389" s="66">
        <v>0</v>
      </c>
      <c r="S389" s="66">
        <v>0</v>
      </c>
      <c r="T389" s="66">
        <v>0</v>
      </c>
      <c r="U389" s="66">
        <v>0</v>
      </c>
      <c r="V389" s="66">
        <v>18</v>
      </c>
      <c r="W389" s="67">
        <v>1</v>
      </c>
      <c r="X389"/>
    </row>
    <row r="390" spans="1:24" ht="15" x14ac:dyDescent="0.25">
      <c r="A390" s="47" t="s">
        <v>313</v>
      </c>
      <c r="B390" s="57"/>
      <c r="C390" s="57"/>
      <c r="D390" s="57"/>
      <c r="E390" s="57"/>
      <c r="F390" s="57"/>
      <c r="G390" s="58">
        <v>20</v>
      </c>
      <c r="H390" s="59">
        <v>0</v>
      </c>
      <c r="I390" s="59">
        <v>0</v>
      </c>
      <c r="J390" s="59">
        <v>0</v>
      </c>
      <c r="K390" s="59">
        <v>0</v>
      </c>
      <c r="L390" s="59">
        <v>0</v>
      </c>
      <c r="M390" s="59">
        <v>0</v>
      </c>
      <c r="N390" s="59">
        <v>0</v>
      </c>
      <c r="O390" s="59">
        <v>0</v>
      </c>
      <c r="P390" s="59">
        <v>0</v>
      </c>
      <c r="Q390" s="59">
        <v>20</v>
      </c>
      <c r="R390" s="59">
        <v>0</v>
      </c>
      <c r="S390" s="59">
        <v>0</v>
      </c>
      <c r="T390" s="59">
        <v>0</v>
      </c>
      <c r="U390" s="59">
        <v>0</v>
      </c>
      <c r="V390" s="59">
        <v>20</v>
      </c>
      <c r="W390" s="60">
        <v>1</v>
      </c>
      <c r="X390"/>
    </row>
    <row r="391" spans="1:24" ht="15" x14ac:dyDescent="0.25">
      <c r="A391" s="35" t="s">
        <v>149</v>
      </c>
      <c r="B391" s="35" t="s">
        <v>150</v>
      </c>
      <c r="C391" s="35">
        <v>51608</v>
      </c>
      <c r="D391" s="35" t="s">
        <v>221</v>
      </c>
      <c r="E391" s="35">
        <v>5452</v>
      </c>
      <c r="F391" s="35" t="s">
        <v>149</v>
      </c>
      <c r="G391" s="43">
        <v>5</v>
      </c>
      <c r="H391" s="44">
        <v>0</v>
      </c>
      <c r="I391" s="44">
        <v>0</v>
      </c>
      <c r="J391" s="44">
        <v>0</v>
      </c>
      <c r="K391" s="44">
        <v>5</v>
      </c>
      <c r="L391" s="44">
        <v>0</v>
      </c>
      <c r="M391" s="44">
        <v>0</v>
      </c>
      <c r="N391" s="44">
        <v>0</v>
      </c>
      <c r="O391" s="44">
        <v>0</v>
      </c>
      <c r="P391" s="44">
        <v>0</v>
      </c>
      <c r="Q391" s="44">
        <v>0</v>
      </c>
      <c r="R391" s="44">
        <v>0</v>
      </c>
      <c r="S391" s="44">
        <v>0</v>
      </c>
      <c r="T391" s="44">
        <v>0</v>
      </c>
      <c r="U391" s="44">
        <v>0</v>
      </c>
      <c r="V391" s="44">
        <v>5</v>
      </c>
      <c r="W391" s="39">
        <v>1</v>
      </c>
      <c r="X391"/>
    </row>
    <row r="392" spans="1:24" ht="15" x14ac:dyDescent="0.25">
      <c r="A392" s="40"/>
      <c r="B392" s="40"/>
      <c r="C392" s="40"/>
      <c r="D392" s="63" t="s">
        <v>297</v>
      </c>
      <c r="E392" s="64"/>
      <c r="F392" s="64"/>
      <c r="G392" s="65">
        <v>5</v>
      </c>
      <c r="H392" s="66">
        <v>0</v>
      </c>
      <c r="I392" s="66">
        <v>0</v>
      </c>
      <c r="J392" s="66">
        <v>0</v>
      </c>
      <c r="K392" s="66">
        <v>5</v>
      </c>
      <c r="L392" s="66">
        <v>0</v>
      </c>
      <c r="M392" s="66">
        <v>0</v>
      </c>
      <c r="N392" s="66">
        <v>0</v>
      </c>
      <c r="O392" s="66">
        <v>0</v>
      </c>
      <c r="P392" s="66">
        <v>0</v>
      </c>
      <c r="Q392" s="66">
        <v>0</v>
      </c>
      <c r="R392" s="66">
        <v>0</v>
      </c>
      <c r="S392" s="66">
        <v>0</v>
      </c>
      <c r="T392" s="66">
        <v>0</v>
      </c>
      <c r="U392" s="66">
        <v>0</v>
      </c>
      <c r="V392" s="66">
        <v>5</v>
      </c>
      <c r="W392" s="67">
        <v>1</v>
      </c>
      <c r="X392"/>
    </row>
    <row r="393" spans="1:24" ht="15" x14ac:dyDescent="0.25">
      <c r="A393" s="40"/>
      <c r="B393" s="40"/>
      <c r="C393" s="40"/>
      <c r="D393" s="35" t="s">
        <v>263</v>
      </c>
      <c r="E393" s="35">
        <v>5653</v>
      </c>
      <c r="F393" s="35" t="s">
        <v>149</v>
      </c>
      <c r="G393" s="43">
        <v>4</v>
      </c>
      <c r="H393" s="44">
        <v>0</v>
      </c>
      <c r="I393" s="44">
        <v>0</v>
      </c>
      <c r="J393" s="44">
        <v>0</v>
      </c>
      <c r="K393" s="44">
        <v>4</v>
      </c>
      <c r="L393" s="44">
        <v>0</v>
      </c>
      <c r="M393" s="44">
        <v>0</v>
      </c>
      <c r="N393" s="44">
        <v>0</v>
      </c>
      <c r="O393" s="44">
        <v>0</v>
      </c>
      <c r="P393" s="44">
        <v>0</v>
      </c>
      <c r="Q393" s="44">
        <v>0</v>
      </c>
      <c r="R393" s="44">
        <v>0</v>
      </c>
      <c r="S393" s="44">
        <v>0</v>
      </c>
      <c r="T393" s="44">
        <v>0</v>
      </c>
      <c r="U393" s="44">
        <v>0</v>
      </c>
      <c r="V393" s="44">
        <v>4</v>
      </c>
      <c r="W393" s="39">
        <v>1</v>
      </c>
      <c r="X393"/>
    </row>
    <row r="394" spans="1:24" ht="15" x14ac:dyDescent="0.25">
      <c r="A394" s="40"/>
      <c r="B394" s="40"/>
      <c r="C394" s="40"/>
      <c r="D394" s="63" t="s">
        <v>310</v>
      </c>
      <c r="E394" s="64"/>
      <c r="F394" s="64"/>
      <c r="G394" s="65">
        <v>4</v>
      </c>
      <c r="H394" s="66">
        <v>0</v>
      </c>
      <c r="I394" s="66">
        <v>0</v>
      </c>
      <c r="J394" s="66">
        <v>0</v>
      </c>
      <c r="K394" s="66">
        <v>4</v>
      </c>
      <c r="L394" s="66">
        <v>0</v>
      </c>
      <c r="M394" s="66">
        <v>0</v>
      </c>
      <c r="N394" s="66">
        <v>0</v>
      </c>
      <c r="O394" s="66">
        <v>0</v>
      </c>
      <c r="P394" s="66">
        <v>0</v>
      </c>
      <c r="Q394" s="66">
        <v>0</v>
      </c>
      <c r="R394" s="66">
        <v>0</v>
      </c>
      <c r="S394" s="66">
        <v>0</v>
      </c>
      <c r="T394" s="66">
        <v>0</v>
      </c>
      <c r="U394" s="66">
        <v>0</v>
      </c>
      <c r="V394" s="66">
        <v>4</v>
      </c>
      <c r="W394" s="67">
        <v>1</v>
      </c>
      <c r="X394"/>
    </row>
    <row r="395" spans="1:24" ht="15" x14ac:dyDescent="0.25">
      <c r="A395" s="40"/>
      <c r="B395" s="35" t="s">
        <v>170</v>
      </c>
      <c r="C395" s="35" t="s">
        <v>169</v>
      </c>
      <c r="D395" s="35" t="s">
        <v>221</v>
      </c>
      <c r="E395" s="35">
        <v>5452</v>
      </c>
      <c r="F395" s="35" t="s">
        <v>149</v>
      </c>
      <c r="G395" s="43">
        <v>25</v>
      </c>
      <c r="H395" s="44">
        <v>0</v>
      </c>
      <c r="I395" s="44">
        <v>0</v>
      </c>
      <c r="J395" s="44">
        <v>0</v>
      </c>
      <c r="K395" s="44">
        <v>0</v>
      </c>
      <c r="L395" s="44">
        <v>11</v>
      </c>
      <c r="M395" s="44">
        <v>0</v>
      </c>
      <c r="N395" s="44">
        <v>7</v>
      </c>
      <c r="O395" s="44">
        <v>0</v>
      </c>
      <c r="P395" s="44">
        <v>0</v>
      </c>
      <c r="Q395" s="44">
        <v>7</v>
      </c>
      <c r="R395" s="44">
        <v>0</v>
      </c>
      <c r="S395" s="44">
        <v>0</v>
      </c>
      <c r="T395" s="44">
        <v>0</v>
      </c>
      <c r="U395" s="44">
        <v>0</v>
      </c>
      <c r="V395" s="44">
        <v>25</v>
      </c>
      <c r="W395" s="39">
        <v>1</v>
      </c>
      <c r="X395"/>
    </row>
    <row r="396" spans="1:24" ht="15" x14ac:dyDescent="0.25">
      <c r="A396" s="40"/>
      <c r="B396" s="40"/>
      <c r="C396" s="40"/>
      <c r="D396" s="63" t="s">
        <v>297</v>
      </c>
      <c r="E396" s="64"/>
      <c r="F396" s="64"/>
      <c r="G396" s="65">
        <v>25</v>
      </c>
      <c r="H396" s="66">
        <v>0</v>
      </c>
      <c r="I396" s="66">
        <v>0</v>
      </c>
      <c r="J396" s="66">
        <v>0</v>
      </c>
      <c r="K396" s="66">
        <v>0</v>
      </c>
      <c r="L396" s="66">
        <v>11</v>
      </c>
      <c r="M396" s="66">
        <v>0</v>
      </c>
      <c r="N396" s="66">
        <v>7</v>
      </c>
      <c r="O396" s="66">
        <v>0</v>
      </c>
      <c r="P396" s="66">
        <v>0</v>
      </c>
      <c r="Q396" s="66">
        <v>7</v>
      </c>
      <c r="R396" s="66">
        <v>0</v>
      </c>
      <c r="S396" s="66">
        <v>0</v>
      </c>
      <c r="T396" s="66">
        <v>0</v>
      </c>
      <c r="U396" s="66">
        <v>0</v>
      </c>
      <c r="V396" s="66">
        <v>25</v>
      </c>
      <c r="W396" s="67">
        <v>1</v>
      </c>
      <c r="X396"/>
    </row>
    <row r="397" spans="1:24" ht="15" x14ac:dyDescent="0.25">
      <c r="A397" s="40"/>
      <c r="B397" s="40"/>
      <c r="C397" s="40"/>
      <c r="D397" s="35" t="s">
        <v>263</v>
      </c>
      <c r="E397" s="35">
        <v>5653</v>
      </c>
      <c r="F397" s="35" t="s">
        <v>149</v>
      </c>
      <c r="G397" s="43">
        <v>20</v>
      </c>
      <c r="H397" s="44">
        <v>0</v>
      </c>
      <c r="I397" s="44">
        <v>0</v>
      </c>
      <c r="J397" s="44">
        <v>0</v>
      </c>
      <c r="K397" s="44">
        <v>0</v>
      </c>
      <c r="L397" s="44">
        <v>8</v>
      </c>
      <c r="M397" s="44">
        <v>0</v>
      </c>
      <c r="N397" s="44">
        <v>6</v>
      </c>
      <c r="O397" s="44">
        <v>0</v>
      </c>
      <c r="P397" s="44">
        <v>0</v>
      </c>
      <c r="Q397" s="44">
        <v>6</v>
      </c>
      <c r="R397" s="44">
        <v>0</v>
      </c>
      <c r="S397" s="44">
        <v>0</v>
      </c>
      <c r="T397" s="44">
        <v>0</v>
      </c>
      <c r="U397" s="44">
        <v>0</v>
      </c>
      <c r="V397" s="44">
        <v>20</v>
      </c>
      <c r="W397" s="39">
        <v>1</v>
      </c>
      <c r="X397"/>
    </row>
    <row r="398" spans="1:24" ht="15" x14ac:dyDescent="0.25">
      <c r="A398" s="40"/>
      <c r="B398" s="40"/>
      <c r="C398" s="40"/>
      <c r="D398" s="63" t="s">
        <v>310</v>
      </c>
      <c r="E398" s="64"/>
      <c r="F398" s="64"/>
      <c r="G398" s="65">
        <v>20</v>
      </c>
      <c r="H398" s="66">
        <v>0</v>
      </c>
      <c r="I398" s="66">
        <v>0</v>
      </c>
      <c r="J398" s="66">
        <v>0</v>
      </c>
      <c r="K398" s="66">
        <v>0</v>
      </c>
      <c r="L398" s="66">
        <v>8</v>
      </c>
      <c r="M398" s="66">
        <v>0</v>
      </c>
      <c r="N398" s="66">
        <v>6</v>
      </c>
      <c r="O398" s="66">
        <v>0</v>
      </c>
      <c r="P398" s="66">
        <v>0</v>
      </c>
      <c r="Q398" s="66">
        <v>6</v>
      </c>
      <c r="R398" s="66">
        <v>0</v>
      </c>
      <c r="S398" s="66">
        <v>0</v>
      </c>
      <c r="T398" s="66">
        <v>0</v>
      </c>
      <c r="U398" s="66">
        <v>0</v>
      </c>
      <c r="V398" s="66">
        <v>20</v>
      </c>
      <c r="W398" s="67">
        <v>1</v>
      </c>
      <c r="X398"/>
    </row>
    <row r="399" spans="1:24" ht="15" x14ac:dyDescent="0.25">
      <c r="A399" s="40"/>
      <c r="B399" s="35" t="s">
        <v>152</v>
      </c>
      <c r="C399" s="35" t="s">
        <v>151</v>
      </c>
      <c r="D399" s="35" t="s">
        <v>221</v>
      </c>
      <c r="E399" s="35">
        <v>5452</v>
      </c>
      <c r="F399" s="35" t="s">
        <v>149</v>
      </c>
      <c r="G399" s="43">
        <v>14</v>
      </c>
      <c r="H399" s="44">
        <v>0</v>
      </c>
      <c r="I399" s="44">
        <v>0</v>
      </c>
      <c r="J399" s="44">
        <v>0</v>
      </c>
      <c r="K399" s="44">
        <v>0</v>
      </c>
      <c r="L399" s="44">
        <v>0</v>
      </c>
      <c r="M399" s="44">
        <v>0</v>
      </c>
      <c r="N399" s="44">
        <v>0</v>
      </c>
      <c r="O399" s="44">
        <v>0</v>
      </c>
      <c r="P399" s="44">
        <v>0</v>
      </c>
      <c r="Q399" s="44">
        <v>0</v>
      </c>
      <c r="R399" s="44">
        <v>0</v>
      </c>
      <c r="S399" s="44">
        <v>0</v>
      </c>
      <c r="T399" s="44">
        <v>14</v>
      </c>
      <c r="U399" s="44">
        <v>0</v>
      </c>
      <c r="V399" s="44">
        <v>14</v>
      </c>
      <c r="W399" s="39">
        <v>1</v>
      </c>
      <c r="X399"/>
    </row>
    <row r="400" spans="1:24" ht="15" x14ac:dyDescent="0.25">
      <c r="A400" s="40"/>
      <c r="B400" s="40"/>
      <c r="C400" s="40"/>
      <c r="D400" s="63" t="s">
        <v>297</v>
      </c>
      <c r="E400" s="64"/>
      <c r="F400" s="64"/>
      <c r="G400" s="65">
        <v>14</v>
      </c>
      <c r="H400" s="66">
        <v>0</v>
      </c>
      <c r="I400" s="66">
        <v>0</v>
      </c>
      <c r="J400" s="66">
        <v>0</v>
      </c>
      <c r="K400" s="66">
        <v>0</v>
      </c>
      <c r="L400" s="66">
        <v>0</v>
      </c>
      <c r="M400" s="66">
        <v>0</v>
      </c>
      <c r="N400" s="66">
        <v>0</v>
      </c>
      <c r="O400" s="66">
        <v>0</v>
      </c>
      <c r="P400" s="66">
        <v>0</v>
      </c>
      <c r="Q400" s="66">
        <v>0</v>
      </c>
      <c r="R400" s="66">
        <v>0</v>
      </c>
      <c r="S400" s="66">
        <v>0</v>
      </c>
      <c r="T400" s="66">
        <v>14</v>
      </c>
      <c r="U400" s="66">
        <v>0</v>
      </c>
      <c r="V400" s="66">
        <v>14</v>
      </c>
      <c r="W400" s="67">
        <v>1</v>
      </c>
      <c r="X400"/>
    </row>
    <row r="401" spans="1:24" ht="15" x14ac:dyDescent="0.25">
      <c r="A401" s="40"/>
      <c r="B401" s="40"/>
      <c r="C401" s="40"/>
      <c r="D401" s="35" t="s">
        <v>263</v>
      </c>
      <c r="E401" s="35">
        <v>5653</v>
      </c>
      <c r="F401" s="35" t="s">
        <v>149</v>
      </c>
      <c r="G401" s="43">
        <v>8</v>
      </c>
      <c r="H401" s="44">
        <v>0</v>
      </c>
      <c r="I401" s="44">
        <v>0</v>
      </c>
      <c r="J401" s="44">
        <v>0</v>
      </c>
      <c r="K401" s="44">
        <v>0</v>
      </c>
      <c r="L401" s="44">
        <v>0</v>
      </c>
      <c r="M401" s="44">
        <v>0</v>
      </c>
      <c r="N401" s="44">
        <v>0</v>
      </c>
      <c r="O401" s="44">
        <v>0</v>
      </c>
      <c r="P401" s="44">
        <v>0</v>
      </c>
      <c r="Q401" s="44">
        <v>0</v>
      </c>
      <c r="R401" s="44">
        <v>0</v>
      </c>
      <c r="S401" s="44">
        <v>0</v>
      </c>
      <c r="T401" s="44">
        <v>8</v>
      </c>
      <c r="U401" s="44">
        <v>0</v>
      </c>
      <c r="V401" s="44">
        <v>8</v>
      </c>
      <c r="W401" s="39">
        <v>1</v>
      </c>
      <c r="X401"/>
    </row>
    <row r="402" spans="1:24" ht="15" x14ac:dyDescent="0.25">
      <c r="A402" s="40"/>
      <c r="B402" s="40"/>
      <c r="C402" s="40"/>
      <c r="D402" s="63" t="s">
        <v>310</v>
      </c>
      <c r="E402" s="64"/>
      <c r="F402" s="64"/>
      <c r="G402" s="65">
        <v>8</v>
      </c>
      <c r="H402" s="66">
        <v>0</v>
      </c>
      <c r="I402" s="66">
        <v>0</v>
      </c>
      <c r="J402" s="66">
        <v>0</v>
      </c>
      <c r="K402" s="66">
        <v>0</v>
      </c>
      <c r="L402" s="66">
        <v>0</v>
      </c>
      <c r="M402" s="66">
        <v>0</v>
      </c>
      <c r="N402" s="66">
        <v>0</v>
      </c>
      <c r="O402" s="66">
        <v>0</v>
      </c>
      <c r="P402" s="66">
        <v>0</v>
      </c>
      <c r="Q402" s="66">
        <v>0</v>
      </c>
      <c r="R402" s="66">
        <v>0</v>
      </c>
      <c r="S402" s="66">
        <v>0</v>
      </c>
      <c r="T402" s="66">
        <v>8</v>
      </c>
      <c r="U402" s="66">
        <v>0</v>
      </c>
      <c r="V402" s="66">
        <v>8</v>
      </c>
      <c r="W402" s="67">
        <v>1</v>
      </c>
      <c r="X402"/>
    </row>
    <row r="403" spans="1:24" ht="15" x14ac:dyDescent="0.25">
      <c r="A403" s="47" t="s">
        <v>157</v>
      </c>
      <c r="B403" s="57"/>
      <c r="C403" s="57"/>
      <c r="D403" s="57"/>
      <c r="E403" s="57"/>
      <c r="F403" s="57"/>
      <c r="G403" s="58">
        <v>76</v>
      </c>
      <c r="H403" s="59">
        <v>0</v>
      </c>
      <c r="I403" s="59">
        <v>0</v>
      </c>
      <c r="J403" s="59">
        <v>0</v>
      </c>
      <c r="K403" s="59">
        <v>9</v>
      </c>
      <c r="L403" s="59">
        <v>19</v>
      </c>
      <c r="M403" s="59">
        <v>0</v>
      </c>
      <c r="N403" s="59">
        <v>13</v>
      </c>
      <c r="O403" s="59">
        <v>0</v>
      </c>
      <c r="P403" s="59">
        <v>0</v>
      </c>
      <c r="Q403" s="59">
        <v>13</v>
      </c>
      <c r="R403" s="59">
        <v>0</v>
      </c>
      <c r="S403" s="59">
        <v>0</v>
      </c>
      <c r="T403" s="59">
        <v>22</v>
      </c>
      <c r="U403" s="59">
        <v>0</v>
      </c>
      <c r="V403" s="59">
        <v>76</v>
      </c>
      <c r="W403" s="60">
        <v>1</v>
      </c>
      <c r="X403"/>
    </row>
    <row r="404" spans="1:24" ht="15" x14ac:dyDescent="0.25">
      <c r="A404" s="54" t="s">
        <v>16</v>
      </c>
      <c r="B404" s="55"/>
      <c r="C404" s="55"/>
      <c r="D404" s="55"/>
      <c r="E404" s="55"/>
      <c r="F404" s="55"/>
      <c r="G404" s="51">
        <v>23701.5</v>
      </c>
      <c r="H404" s="52">
        <v>0</v>
      </c>
      <c r="I404" s="52">
        <v>331</v>
      </c>
      <c r="J404" s="52">
        <v>2395</v>
      </c>
      <c r="K404" s="52">
        <v>1059</v>
      </c>
      <c r="L404" s="52">
        <v>1509</v>
      </c>
      <c r="M404" s="52">
        <v>2733</v>
      </c>
      <c r="N404" s="52">
        <v>1433</v>
      </c>
      <c r="O404" s="52">
        <v>1342</v>
      </c>
      <c r="P404" s="52">
        <v>771</v>
      </c>
      <c r="Q404" s="52">
        <v>1132</v>
      </c>
      <c r="R404" s="52">
        <v>5335</v>
      </c>
      <c r="S404" s="52">
        <v>1164</v>
      </c>
      <c r="T404" s="52">
        <v>1418</v>
      </c>
      <c r="U404" s="52">
        <v>1208</v>
      </c>
      <c r="V404" s="52">
        <v>21830</v>
      </c>
      <c r="W404" s="53">
        <v>0.92103875282155134</v>
      </c>
      <c r="X404"/>
    </row>
    <row r="405" spans="1:24" ht="15" x14ac:dyDescent="0.25">
      <c r="A405"/>
      <c r="B405"/>
      <c r="C405"/>
      <c r="D405"/>
      <c r="E405"/>
      <c r="F405"/>
      <c r="G405"/>
      <c r="H405"/>
      <c r="I405"/>
      <c r="J405"/>
      <c r="K405"/>
      <c r="L405"/>
      <c r="M405"/>
      <c r="N405"/>
      <c r="O405"/>
      <c r="P405"/>
      <c r="Q405"/>
      <c r="R405"/>
      <c r="S405"/>
      <c r="T405"/>
      <c r="U405"/>
      <c r="V405"/>
      <c r="W405"/>
      <c r="X405"/>
    </row>
    <row r="406" spans="1:24" ht="15" x14ac:dyDescent="0.25">
      <c r="A406"/>
      <c r="B406"/>
      <c r="C406"/>
      <c r="D406"/>
      <c r="E406"/>
      <c r="F406"/>
      <c r="G406"/>
      <c r="H406"/>
      <c r="I406"/>
      <c r="J406"/>
      <c r="K406"/>
      <c r="L406"/>
      <c r="M406"/>
      <c r="N406"/>
      <c r="O406"/>
      <c r="P406"/>
      <c r="Q406"/>
      <c r="R406"/>
      <c r="S406"/>
      <c r="T406"/>
      <c r="U406"/>
      <c r="V406"/>
      <c r="W406"/>
      <c r="X406"/>
    </row>
    <row r="407" spans="1:24" ht="15" x14ac:dyDescent="0.25">
      <c r="A407"/>
      <c r="B407"/>
      <c r="C407"/>
      <c r="D407"/>
      <c r="E407"/>
      <c r="F407"/>
      <c r="G407"/>
      <c r="H407"/>
      <c r="I407"/>
      <c r="J407"/>
      <c r="K407"/>
      <c r="L407"/>
      <c r="M407"/>
      <c r="N407"/>
      <c r="O407"/>
      <c r="P407"/>
      <c r="Q407"/>
      <c r="R407"/>
      <c r="S407"/>
      <c r="T407"/>
      <c r="U407"/>
      <c r="V407"/>
      <c r="W407"/>
      <c r="X407"/>
    </row>
    <row r="408" spans="1:24" ht="15" x14ac:dyDescent="0.25">
      <c r="A408"/>
      <c r="B408"/>
      <c r="C408"/>
      <c r="D408"/>
      <c r="E408"/>
      <c r="F408"/>
      <c r="G408"/>
      <c r="H408"/>
      <c r="I408"/>
      <c r="J408"/>
      <c r="K408"/>
      <c r="L408"/>
      <c r="M408"/>
      <c r="N408"/>
      <c r="O408"/>
      <c r="P408"/>
      <c r="Q408"/>
      <c r="R408"/>
      <c r="S408"/>
      <c r="T408"/>
      <c r="U408"/>
      <c r="V408"/>
      <c r="W408"/>
      <c r="X408"/>
    </row>
    <row r="409" spans="1:24" ht="15" x14ac:dyDescent="0.25">
      <c r="A409"/>
      <c r="B409"/>
      <c r="C409"/>
      <c r="D409"/>
      <c r="E409"/>
      <c r="F409"/>
      <c r="G409"/>
      <c r="H409"/>
      <c r="I409"/>
      <c r="J409"/>
      <c r="K409"/>
      <c r="L409"/>
      <c r="M409"/>
      <c r="N409"/>
      <c r="O409"/>
      <c r="P409"/>
      <c r="Q409"/>
      <c r="R409"/>
      <c r="S409"/>
      <c r="T409"/>
      <c r="U409"/>
      <c r="V409"/>
      <c r="W409"/>
      <c r="X409"/>
    </row>
    <row r="410" spans="1:24" ht="15" x14ac:dyDescent="0.25">
      <c r="A410"/>
      <c r="B410"/>
      <c r="C410"/>
      <c r="D410"/>
      <c r="E410"/>
      <c r="F410"/>
      <c r="G410"/>
      <c r="H410"/>
      <c r="I410"/>
      <c r="J410"/>
      <c r="K410"/>
      <c r="L410"/>
      <c r="M410"/>
      <c r="N410"/>
      <c r="O410"/>
      <c r="P410"/>
      <c r="Q410"/>
      <c r="R410"/>
      <c r="S410"/>
      <c r="T410"/>
      <c r="U410"/>
      <c r="V410"/>
      <c r="W410"/>
      <c r="X410"/>
    </row>
    <row r="411" spans="1:24" ht="15" x14ac:dyDescent="0.25">
      <c r="A411"/>
      <c r="B411"/>
      <c r="C411"/>
      <c r="D411"/>
      <c r="E411"/>
      <c r="F411"/>
      <c r="G411"/>
      <c r="H411"/>
      <c r="I411"/>
      <c r="J411"/>
      <c r="K411"/>
      <c r="L411"/>
      <c r="M411"/>
      <c r="N411"/>
      <c r="O411"/>
      <c r="P411"/>
      <c r="Q411"/>
      <c r="R411"/>
      <c r="S411"/>
      <c r="T411"/>
      <c r="U411"/>
      <c r="V411"/>
      <c r="W411"/>
      <c r="X411"/>
    </row>
    <row r="412" spans="1:24" ht="15" x14ac:dyDescent="0.25">
      <c r="A412"/>
      <c r="B412"/>
      <c r="C412"/>
      <c r="D412"/>
      <c r="E412"/>
      <c r="F412"/>
      <c r="G412"/>
      <c r="H412"/>
      <c r="I412"/>
      <c r="J412"/>
      <c r="K412"/>
      <c r="L412"/>
      <c r="M412"/>
      <c r="N412"/>
      <c r="O412"/>
      <c r="P412"/>
      <c r="Q412"/>
      <c r="R412"/>
      <c r="S412"/>
      <c r="T412"/>
      <c r="U412"/>
      <c r="V412"/>
      <c r="W412"/>
      <c r="X412"/>
    </row>
    <row r="413" spans="1:24" ht="15" x14ac:dyDescent="0.25">
      <c r="A413"/>
      <c r="B413"/>
      <c r="C413"/>
      <c r="D413"/>
      <c r="E413"/>
      <c r="F413"/>
      <c r="G413"/>
      <c r="H413"/>
      <c r="I413"/>
      <c r="J413"/>
      <c r="K413"/>
      <c r="L413"/>
      <c r="M413"/>
      <c r="N413"/>
      <c r="O413"/>
      <c r="P413"/>
      <c r="Q413"/>
      <c r="R413"/>
      <c r="S413"/>
      <c r="T413"/>
      <c r="U413"/>
      <c r="V413"/>
      <c r="W413"/>
      <c r="X413"/>
    </row>
    <row r="414" spans="1:24" ht="15" x14ac:dyDescent="0.25">
      <c r="A414"/>
      <c r="B414"/>
      <c r="C414"/>
      <c r="D414"/>
      <c r="E414"/>
      <c r="F414"/>
      <c r="G414"/>
      <c r="H414"/>
      <c r="I414"/>
      <c r="J414"/>
      <c r="K414"/>
      <c r="L414"/>
      <c r="M414"/>
      <c r="N414"/>
      <c r="O414"/>
      <c r="P414"/>
      <c r="Q414"/>
      <c r="R414"/>
      <c r="S414"/>
      <c r="T414"/>
      <c r="U414"/>
      <c r="V414"/>
      <c r="W414"/>
      <c r="X414"/>
    </row>
    <row r="415" spans="1:24" ht="15" x14ac:dyDescent="0.25">
      <c r="A415"/>
      <c r="B415"/>
      <c r="C415"/>
      <c r="D415"/>
      <c r="E415"/>
      <c r="F415"/>
      <c r="G415"/>
      <c r="H415"/>
      <c r="I415"/>
      <c r="J415"/>
      <c r="K415"/>
      <c r="L415"/>
      <c r="M415"/>
      <c r="N415"/>
      <c r="O415"/>
      <c r="P415"/>
      <c r="Q415"/>
      <c r="R415"/>
      <c r="S415"/>
      <c r="T415"/>
      <c r="U415"/>
      <c r="V415"/>
      <c r="W415"/>
      <c r="X415"/>
    </row>
    <row r="416" spans="1:24" ht="15" x14ac:dyDescent="0.25">
      <c r="A416"/>
      <c r="B416"/>
      <c r="C416"/>
      <c r="D416"/>
      <c r="E416"/>
      <c r="F416"/>
      <c r="G416"/>
      <c r="H416"/>
      <c r="I416"/>
      <c r="J416"/>
      <c r="K416"/>
      <c r="L416"/>
      <c r="M416"/>
      <c r="N416"/>
      <c r="O416"/>
      <c r="P416"/>
      <c r="Q416"/>
      <c r="R416"/>
      <c r="S416"/>
      <c r="T416"/>
      <c r="U416"/>
      <c r="V416"/>
      <c r="W416"/>
      <c r="X416"/>
    </row>
    <row r="417" spans="1:24" ht="15" x14ac:dyDescent="0.25">
      <c r="A417"/>
      <c r="B417"/>
      <c r="C417"/>
      <c r="D417"/>
      <c r="E417"/>
      <c r="F417"/>
      <c r="G417"/>
      <c r="H417"/>
      <c r="I417"/>
      <c r="J417"/>
      <c r="K417"/>
      <c r="L417"/>
      <c r="M417"/>
      <c r="N417"/>
      <c r="O417"/>
      <c r="P417"/>
      <c r="Q417"/>
      <c r="R417"/>
      <c r="S417"/>
      <c r="T417"/>
      <c r="U417"/>
      <c r="V417"/>
      <c r="W417"/>
      <c r="X417"/>
    </row>
    <row r="418" spans="1:24" ht="15" x14ac:dyDescent="0.25">
      <c r="A418"/>
      <c r="B418"/>
      <c r="C418"/>
      <c r="D418"/>
      <c r="E418"/>
      <c r="F418"/>
      <c r="G418"/>
      <c r="H418"/>
      <c r="I418"/>
      <c r="J418"/>
      <c r="K418"/>
      <c r="L418"/>
      <c r="M418"/>
      <c r="N418"/>
      <c r="O418"/>
      <c r="P418"/>
      <c r="Q418"/>
      <c r="R418"/>
      <c r="S418"/>
      <c r="T418"/>
      <c r="U418"/>
      <c r="V418"/>
      <c r="W418"/>
      <c r="X418"/>
    </row>
    <row r="419" spans="1:24" ht="15" x14ac:dyDescent="0.25">
      <c r="A419"/>
      <c r="B419"/>
      <c r="C419"/>
      <c r="D419"/>
      <c r="E419"/>
      <c r="F419"/>
      <c r="G419"/>
      <c r="H419"/>
      <c r="I419"/>
      <c r="J419"/>
      <c r="K419"/>
      <c r="L419"/>
      <c r="M419"/>
      <c r="N419"/>
      <c r="O419"/>
      <c r="P419"/>
      <c r="Q419"/>
      <c r="R419"/>
      <c r="S419"/>
      <c r="T419"/>
      <c r="U419"/>
      <c r="V419"/>
      <c r="W419"/>
      <c r="X419"/>
    </row>
    <row r="420" spans="1:24" ht="15" x14ac:dyDescent="0.25">
      <c r="A420"/>
      <c r="B420"/>
      <c r="C420"/>
      <c r="D420"/>
      <c r="E420"/>
      <c r="F420"/>
      <c r="G420"/>
      <c r="H420"/>
      <c r="I420"/>
      <c r="J420"/>
      <c r="K420"/>
      <c r="L420"/>
      <c r="M420"/>
      <c r="N420"/>
      <c r="O420"/>
      <c r="P420"/>
      <c r="Q420"/>
      <c r="R420"/>
      <c r="S420"/>
      <c r="T420"/>
      <c r="U420"/>
      <c r="V420"/>
      <c r="W420"/>
      <c r="X420"/>
    </row>
    <row r="421" spans="1:24" ht="15" x14ac:dyDescent="0.25">
      <c r="A421"/>
      <c r="B421"/>
      <c r="C421"/>
      <c r="D421"/>
      <c r="E421"/>
      <c r="F421"/>
      <c r="G421"/>
      <c r="H421"/>
      <c r="I421"/>
      <c r="J421"/>
      <c r="K421"/>
      <c r="L421"/>
      <c r="M421"/>
      <c r="N421"/>
      <c r="O421"/>
      <c r="P421"/>
      <c r="Q421"/>
      <c r="R421"/>
      <c r="S421"/>
      <c r="T421"/>
      <c r="U421"/>
      <c r="V421"/>
      <c r="W421"/>
      <c r="X421"/>
    </row>
    <row r="422" spans="1:24" ht="15" x14ac:dyDescent="0.25">
      <c r="A422"/>
      <c r="B422"/>
      <c r="C422"/>
      <c r="D422"/>
      <c r="E422"/>
      <c r="F422"/>
      <c r="G422"/>
      <c r="H422"/>
      <c r="I422"/>
      <c r="J422"/>
      <c r="K422"/>
      <c r="L422"/>
      <c r="M422"/>
      <c r="N422"/>
      <c r="O422"/>
      <c r="P422"/>
      <c r="Q422"/>
      <c r="R422"/>
      <c r="S422"/>
      <c r="T422"/>
      <c r="U422"/>
      <c r="V422"/>
      <c r="W422"/>
      <c r="X422"/>
    </row>
    <row r="423" spans="1:24" ht="15" x14ac:dyDescent="0.25">
      <c r="A423"/>
      <c r="B423"/>
      <c r="C423"/>
      <c r="D423"/>
      <c r="E423"/>
      <c r="F423"/>
      <c r="G423"/>
      <c r="H423"/>
      <c r="I423"/>
      <c r="J423"/>
      <c r="K423"/>
      <c r="L423"/>
      <c r="M423"/>
      <c r="N423"/>
      <c r="O423"/>
      <c r="P423"/>
      <c r="Q423"/>
      <c r="R423"/>
      <c r="S423"/>
      <c r="T423"/>
      <c r="U423"/>
      <c r="V423"/>
      <c r="W423"/>
      <c r="X423"/>
    </row>
    <row r="424" spans="1:24" ht="15" x14ac:dyDescent="0.25">
      <c r="A424"/>
      <c r="B424"/>
      <c r="C424"/>
      <c r="D424"/>
      <c r="E424"/>
      <c r="F424"/>
      <c r="G424"/>
      <c r="H424"/>
      <c r="I424"/>
      <c r="J424"/>
      <c r="K424"/>
      <c r="L424"/>
      <c r="M424"/>
      <c r="N424"/>
      <c r="O424"/>
      <c r="P424"/>
      <c r="Q424"/>
      <c r="R424"/>
      <c r="S424"/>
      <c r="T424"/>
      <c r="U424"/>
      <c r="V424"/>
      <c r="W424"/>
      <c r="X424"/>
    </row>
    <row r="425" spans="1:24" ht="15" x14ac:dyDescent="0.25">
      <c r="A425"/>
      <c r="B425"/>
      <c r="C425"/>
      <c r="D425"/>
      <c r="E425"/>
      <c r="F425"/>
      <c r="G425"/>
      <c r="H425"/>
      <c r="I425"/>
      <c r="J425"/>
      <c r="K425"/>
      <c r="L425"/>
      <c r="M425"/>
      <c r="N425"/>
      <c r="O425"/>
      <c r="P425"/>
      <c r="Q425"/>
      <c r="R425"/>
      <c r="S425"/>
      <c r="T425"/>
      <c r="U425"/>
      <c r="V425"/>
      <c r="W425"/>
      <c r="X425"/>
    </row>
    <row r="426" spans="1:24" ht="15" x14ac:dyDescent="0.25">
      <c r="A426"/>
      <c r="B426"/>
      <c r="C426"/>
      <c r="D426"/>
      <c r="E426"/>
      <c r="F426"/>
      <c r="G426"/>
      <c r="H426"/>
      <c r="I426"/>
      <c r="J426"/>
      <c r="K426"/>
      <c r="L426"/>
      <c r="M426"/>
      <c r="N426"/>
      <c r="O426"/>
      <c r="P426"/>
      <c r="Q426"/>
      <c r="R426"/>
      <c r="S426"/>
      <c r="T426"/>
      <c r="U426"/>
      <c r="V426"/>
      <c r="W426"/>
      <c r="X426"/>
    </row>
    <row r="427" spans="1:24" ht="15" x14ac:dyDescent="0.25">
      <c r="A427"/>
      <c r="B427"/>
      <c r="C427"/>
      <c r="D427"/>
      <c r="E427"/>
      <c r="F427"/>
      <c r="G427"/>
      <c r="H427"/>
      <c r="I427"/>
      <c r="J427"/>
      <c r="K427"/>
      <c r="L427"/>
      <c r="M427"/>
      <c r="N427"/>
      <c r="O427"/>
      <c r="P427"/>
      <c r="Q427"/>
      <c r="R427"/>
      <c r="S427"/>
      <c r="T427"/>
      <c r="U427"/>
      <c r="V427"/>
      <c r="W427"/>
      <c r="X427"/>
    </row>
    <row r="428" spans="1:24" ht="15" x14ac:dyDescent="0.25">
      <c r="A428"/>
      <c r="B428"/>
      <c r="C428"/>
      <c r="D428"/>
      <c r="E428"/>
      <c r="F428"/>
      <c r="G428"/>
      <c r="H428"/>
      <c r="I428"/>
      <c r="J428"/>
      <c r="K428"/>
      <c r="L428"/>
      <c r="M428"/>
      <c r="N428"/>
      <c r="O428"/>
      <c r="P428"/>
      <c r="Q428"/>
      <c r="R428"/>
      <c r="S428"/>
      <c r="T428"/>
      <c r="U428"/>
      <c r="V428"/>
      <c r="W428"/>
      <c r="X428"/>
    </row>
    <row r="429" spans="1:24" ht="15" x14ac:dyDescent="0.25">
      <c r="A429"/>
      <c r="B429"/>
      <c r="C429"/>
      <c r="D429"/>
      <c r="E429"/>
      <c r="F429"/>
      <c r="G429"/>
      <c r="H429"/>
      <c r="I429"/>
      <c r="J429"/>
      <c r="K429"/>
      <c r="L429"/>
      <c r="M429"/>
      <c r="N429"/>
      <c r="O429"/>
      <c r="P429"/>
      <c r="Q429"/>
      <c r="R429"/>
      <c r="S429"/>
      <c r="T429"/>
      <c r="U429"/>
      <c r="V429"/>
      <c r="W429"/>
      <c r="X429"/>
    </row>
    <row r="430" spans="1:24" ht="15" x14ac:dyDescent="0.25">
      <c r="A430"/>
      <c r="B430"/>
      <c r="C430"/>
      <c r="D430"/>
      <c r="E430"/>
      <c r="F430"/>
      <c r="G430"/>
      <c r="H430"/>
      <c r="I430"/>
      <c r="J430"/>
      <c r="K430"/>
      <c r="L430"/>
      <c r="M430"/>
      <c r="N430"/>
      <c r="O430"/>
      <c r="P430"/>
      <c r="Q430"/>
      <c r="R430"/>
      <c r="S430"/>
      <c r="T430"/>
      <c r="U430"/>
      <c r="V430"/>
      <c r="W430"/>
      <c r="X430"/>
    </row>
    <row r="431" spans="1:24" ht="15" x14ac:dyDescent="0.25">
      <c r="A431"/>
      <c r="B431"/>
      <c r="C431"/>
      <c r="D431"/>
      <c r="E431"/>
      <c r="F431"/>
      <c r="G431"/>
      <c r="H431"/>
      <c r="I431"/>
      <c r="J431"/>
      <c r="K431"/>
      <c r="L431"/>
      <c r="M431"/>
      <c r="N431"/>
      <c r="O431"/>
      <c r="P431"/>
      <c r="Q431"/>
      <c r="R431"/>
      <c r="S431"/>
      <c r="T431"/>
      <c r="U431"/>
      <c r="V431"/>
      <c r="W431"/>
      <c r="X431"/>
    </row>
    <row r="432" spans="1:24" ht="15" x14ac:dyDescent="0.25">
      <c r="A432"/>
      <c r="B432"/>
      <c r="C432"/>
      <c r="D432"/>
      <c r="E432"/>
      <c r="F432"/>
      <c r="G432"/>
      <c r="H432"/>
      <c r="I432"/>
      <c r="J432"/>
      <c r="K432"/>
      <c r="L432"/>
      <c r="M432"/>
      <c r="N432"/>
      <c r="O432"/>
      <c r="P432"/>
      <c r="Q432"/>
      <c r="R432"/>
      <c r="S432"/>
      <c r="T432"/>
      <c r="U432"/>
      <c r="V432"/>
      <c r="W432"/>
      <c r="X432"/>
    </row>
    <row r="433" spans="1:24" ht="15" x14ac:dyDescent="0.25">
      <c r="A433"/>
      <c r="B433"/>
      <c r="C433"/>
      <c r="D433"/>
      <c r="E433"/>
      <c r="F433"/>
      <c r="G433"/>
      <c r="H433"/>
      <c r="I433"/>
      <c r="J433"/>
      <c r="K433"/>
      <c r="L433"/>
      <c r="M433"/>
      <c r="N433"/>
      <c r="O433"/>
      <c r="P433"/>
      <c r="Q433"/>
      <c r="R433"/>
      <c r="S433"/>
      <c r="T433"/>
      <c r="U433"/>
      <c r="V433"/>
      <c r="W433"/>
      <c r="X433"/>
    </row>
    <row r="434" spans="1:24" ht="15" x14ac:dyDescent="0.25">
      <c r="A434"/>
      <c r="B434"/>
      <c r="C434"/>
      <c r="D434"/>
      <c r="E434"/>
      <c r="F434"/>
      <c r="G434"/>
      <c r="H434"/>
      <c r="I434"/>
      <c r="J434"/>
      <c r="K434"/>
      <c r="L434"/>
      <c r="M434"/>
      <c r="N434"/>
      <c r="O434"/>
      <c r="P434"/>
      <c r="Q434"/>
      <c r="R434"/>
      <c r="S434"/>
      <c r="T434"/>
      <c r="U434"/>
      <c r="V434"/>
      <c r="W434"/>
      <c r="X434"/>
    </row>
    <row r="435" spans="1:24" ht="15" x14ac:dyDescent="0.25">
      <c r="A435"/>
      <c r="B435"/>
      <c r="C435"/>
      <c r="D435"/>
      <c r="E435"/>
      <c r="F435"/>
      <c r="G435"/>
      <c r="H435"/>
      <c r="I435"/>
      <c r="J435"/>
      <c r="K435"/>
      <c r="L435"/>
      <c r="M435"/>
      <c r="N435"/>
      <c r="O435"/>
      <c r="P435"/>
      <c r="Q435"/>
      <c r="R435"/>
      <c r="S435"/>
      <c r="T435"/>
      <c r="U435"/>
      <c r="V435"/>
      <c r="W435"/>
      <c r="X435"/>
    </row>
    <row r="436" spans="1:24" ht="15" x14ac:dyDescent="0.25">
      <c r="A436"/>
      <c r="B436"/>
      <c r="C436"/>
      <c r="D436"/>
      <c r="E436"/>
      <c r="F436"/>
      <c r="G436"/>
      <c r="H436"/>
      <c r="I436"/>
      <c r="J436"/>
      <c r="K436"/>
      <c r="L436"/>
      <c r="M436"/>
      <c r="N436"/>
      <c r="O436"/>
      <c r="P436"/>
      <c r="Q436"/>
      <c r="R436"/>
      <c r="S436"/>
      <c r="T436"/>
      <c r="U436"/>
      <c r="V436"/>
      <c r="W436"/>
      <c r="X436"/>
    </row>
    <row r="437" spans="1:24" ht="15" x14ac:dyDescent="0.25">
      <c r="A437"/>
      <c r="B437"/>
      <c r="C437"/>
      <c r="D437"/>
      <c r="E437"/>
      <c r="F437"/>
      <c r="G437"/>
      <c r="H437"/>
      <c r="I437"/>
      <c r="J437"/>
      <c r="K437"/>
      <c r="L437"/>
      <c r="M437"/>
      <c r="N437"/>
      <c r="O437"/>
      <c r="P437"/>
      <c r="Q437"/>
      <c r="R437"/>
      <c r="S437"/>
      <c r="T437"/>
      <c r="U437"/>
      <c r="V437"/>
      <c r="W437"/>
      <c r="X437"/>
    </row>
    <row r="438" spans="1:24" ht="15" x14ac:dyDescent="0.25">
      <c r="A438"/>
      <c r="B438"/>
      <c r="C438"/>
      <c r="D438"/>
      <c r="E438"/>
      <c r="F438"/>
      <c r="G438"/>
      <c r="H438"/>
      <c r="I438"/>
      <c r="J438"/>
      <c r="K438"/>
      <c r="L438"/>
      <c r="M438"/>
      <c r="N438"/>
      <c r="O438"/>
      <c r="P438"/>
      <c r="Q438"/>
      <c r="R438"/>
      <c r="S438"/>
      <c r="T438"/>
      <c r="U438"/>
      <c r="V438"/>
      <c r="W438"/>
      <c r="X438"/>
    </row>
    <row r="439" spans="1:24" ht="15" x14ac:dyDescent="0.25">
      <c r="A439"/>
      <c r="B439"/>
      <c r="C439"/>
      <c r="D439"/>
      <c r="E439"/>
      <c r="F439"/>
      <c r="G439"/>
      <c r="H439"/>
      <c r="I439"/>
      <c r="J439"/>
      <c r="K439"/>
      <c r="L439"/>
      <c r="M439"/>
      <c r="N439"/>
      <c r="O439"/>
      <c r="P439"/>
      <c r="Q439"/>
      <c r="R439"/>
      <c r="S439"/>
      <c r="T439"/>
      <c r="U439"/>
      <c r="V439"/>
      <c r="W439"/>
      <c r="X439"/>
    </row>
    <row r="440" spans="1:24" ht="15" x14ac:dyDescent="0.25">
      <c r="A440"/>
      <c r="B440"/>
      <c r="C440"/>
      <c r="D440"/>
      <c r="E440"/>
      <c r="F440"/>
      <c r="G440"/>
      <c r="H440"/>
      <c r="I440"/>
      <c r="J440"/>
      <c r="K440"/>
      <c r="L440"/>
      <c r="M440"/>
      <c r="N440"/>
      <c r="O440"/>
      <c r="P440"/>
      <c r="Q440"/>
      <c r="R440"/>
      <c r="S440"/>
      <c r="T440"/>
      <c r="U440"/>
      <c r="V440"/>
      <c r="W440"/>
      <c r="X440"/>
    </row>
    <row r="441" spans="1:24" ht="15" x14ac:dyDescent="0.25">
      <c r="A441"/>
      <c r="B441"/>
      <c r="C441"/>
      <c r="D441"/>
      <c r="E441"/>
      <c r="F441"/>
      <c r="G441"/>
      <c r="H441"/>
      <c r="I441"/>
      <c r="J441"/>
      <c r="K441"/>
      <c r="L441"/>
      <c r="M441"/>
      <c r="N441"/>
      <c r="O441"/>
      <c r="P441"/>
      <c r="Q441"/>
      <c r="R441"/>
      <c r="S441"/>
      <c r="T441"/>
      <c r="U441"/>
      <c r="V441"/>
      <c r="W441"/>
      <c r="X441"/>
    </row>
    <row r="442" spans="1:24" ht="15" x14ac:dyDescent="0.25">
      <c r="A442"/>
      <c r="B442"/>
      <c r="C442"/>
      <c r="D442"/>
      <c r="E442"/>
      <c r="F442"/>
      <c r="G442"/>
      <c r="H442"/>
      <c r="I442"/>
      <c r="J442"/>
      <c r="K442"/>
      <c r="L442"/>
      <c r="M442"/>
      <c r="N442"/>
      <c r="O442"/>
      <c r="P442"/>
      <c r="Q442"/>
      <c r="R442"/>
      <c r="S442"/>
      <c r="T442"/>
      <c r="U442"/>
      <c r="V442"/>
      <c r="W442"/>
      <c r="X442"/>
    </row>
    <row r="443" spans="1:24" ht="15" x14ac:dyDescent="0.25">
      <c r="A443"/>
      <c r="B443"/>
      <c r="C443"/>
      <c r="D443"/>
      <c r="E443"/>
      <c r="F443"/>
      <c r="G443"/>
      <c r="H443"/>
      <c r="I443"/>
      <c r="J443"/>
      <c r="K443"/>
      <c r="L443"/>
      <c r="M443"/>
      <c r="N443"/>
      <c r="O443"/>
      <c r="P443"/>
      <c r="Q443"/>
      <c r="R443"/>
      <c r="S443"/>
      <c r="T443"/>
      <c r="U443"/>
      <c r="V443"/>
      <c r="W443"/>
      <c r="X443"/>
    </row>
    <row r="444" spans="1:24" ht="15" x14ac:dyDescent="0.25">
      <c r="A444"/>
      <c r="B444"/>
      <c r="C444"/>
      <c r="D444"/>
      <c r="E444"/>
      <c r="F444"/>
      <c r="G444"/>
      <c r="H444"/>
      <c r="I444"/>
      <c r="J444"/>
      <c r="K444"/>
      <c r="L444"/>
      <c r="M444"/>
      <c r="N444"/>
      <c r="O444"/>
      <c r="P444"/>
      <c r="Q444"/>
      <c r="R444"/>
      <c r="S444"/>
      <c r="T444"/>
      <c r="U444"/>
      <c r="V444"/>
      <c r="W444"/>
      <c r="X444"/>
    </row>
    <row r="445" spans="1:24" ht="15" x14ac:dyDescent="0.25">
      <c r="A445"/>
      <c r="B445"/>
      <c r="C445"/>
      <c r="D445"/>
      <c r="E445"/>
      <c r="F445"/>
      <c r="G445"/>
      <c r="H445"/>
      <c r="I445"/>
      <c r="J445"/>
      <c r="K445"/>
      <c r="L445"/>
      <c r="M445"/>
      <c r="N445"/>
      <c r="O445"/>
      <c r="P445"/>
      <c r="Q445"/>
      <c r="R445"/>
      <c r="S445"/>
      <c r="T445"/>
      <c r="U445"/>
      <c r="V445"/>
      <c r="W445"/>
      <c r="X445"/>
    </row>
    <row r="446" spans="1:24" ht="15" x14ac:dyDescent="0.25">
      <c r="A446"/>
      <c r="B446"/>
      <c r="C446"/>
      <c r="D446"/>
      <c r="E446"/>
      <c r="F446"/>
      <c r="G446"/>
      <c r="H446"/>
      <c r="I446"/>
      <c r="J446"/>
      <c r="K446"/>
      <c r="L446"/>
      <c r="M446"/>
      <c r="N446"/>
      <c r="O446"/>
      <c r="P446"/>
      <c r="Q446"/>
      <c r="R446"/>
      <c r="S446"/>
      <c r="T446"/>
      <c r="U446"/>
      <c r="V446"/>
      <c r="W446"/>
      <c r="X446"/>
    </row>
    <row r="447" spans="1:24" ht="15" x14ac:dyDescent="0.25">
      <c r="A447"/>
      <c r="B447"/>
      <c r="C447"/>
      <c r="D447"/>
      <c r="E447"/>
      <c r="F447"/>
      <c r="G447"/>
      <c r="H447"/>
      <c r="I447"/>
      <c r="J447"/>
      <c r="K447"/>
      <c r="L447"/>
      <c r="M447"/>
      <c r="N447"/>
      <c r="O447"/>
      <c r="P447"/>
      <c r="Q447"/>
      <c r="R447"/>
      <c r="S447"/>
      <c r="T447"/>
      <c r="U447"/>
      <c r="V447"/>
      <c r="W447"/>
      <c r="X447"/>
    </row>
    <row r="448" spans="1:24" ht="15" x14ac:dyDescent="0.25">
      <c r="A448"/>
      <c r="B448"/>
      <c r="C448"/>
      <c r="D448"/>
      <c r="E448"/>
      <c r="F448"/>
      <c r="G448"/>
      <c r="H448"/>
      <c r="I448"/>
      <c r="J448"/>
      <c r="K448"/>
      <c r="L448"/>
      <c r="M448"/>
      <c r="N448"/>
      <c r="O448"/>
      <c r="P448"/>
      <c r="Q448"/>
      <c r="R448"/>
      <c r="S448"/>
      <c r="T448"/>
      <c r="U448"/>
      <c r="V448"/>
      <c r="W448"/>
      <c r="X448"/>
    </row>
    <row r="449" spans="1:24" ht="15" x14ac:dyDescent="0.25">
      <c r="A449"/>
      <c r="B449"/>
      <c r="C449"/>
      <c r="D449"/>
      <c r="E449"/>
      <c r="F449"/>
      <c r="G449"/>
      <c r="H449"/>
      <c r="I449"/>
      <c r="J449"/>
      <c r="K449"/>
      <c r="L449"/>
      <c r="M449"/>
      <c r="N449"/>
      <c r="O449"/>
      <c r="P449"/>
      <c r="Q449"/>
      <c r="R449"/>
      <c r="S449"/>
      <c r="T449"/>
      <c r="U449"/>
      <c r="V449"/>
      <c r="W449"/>
      <c r="X449"/>
    </row>
    <row r="450" spans="1:24" ht="15" x14ac:dyDescent="0.25">
      <c r="A450"/>
      <c r="B450"/>
      <c r="C450"/>
      <c r="D450"/>
      <c r="E450"/>
      <c r="F450"/>
      <c r="G450"/>
      <c r="H450"/>
      <c r="I450"/>
      <c r="J450"/>
      <c r="K450"/>
      <c r="L450"/>
      <c r="M450"/>
      <c r="N450"/>
      <c r="O450"/>
      <c r="P450"/>
      <c r="Q450"/>
      <c r="R450"/>
      <c r="S450"/>
      <c r="T450"/>
      <c r="U450"/>
      <c r="V450"/>
      <c r="W450"/>
      <c r="X450"/>
    </row>
    <row r="451" spans="1:24" ht="15" x14ac:dyDescent="0.25">
      <c r="A451"/>
      <c r="B451"/>
      <c r="C451"/>
      <c r="D451"/>
      <c r="E451"/>
      <c r="F451"/>
      <c r="G451"/>
      <c r="H451"/>
      <c r="I451"/>
      <c r="J451"/>
      <c r="K451"/>
      <c r="L451"/>
      <c r="M451"/>
      <c r="N451"/>
      <c r="O451"/>
      <c r="P451"/>
      <c r="Q451"/>
      <c r="R451"/>
      <c r="S451"/>
      <c r="T451"/>
      <c r="U451"/>
      <c r="V451"/>
      <c r="W451"/>
      <c r="X451"/>
    </row>
    <row r="452" spans="1:24" ht="15" x14ac:dyDescent="0.25">
      <c r="A452"/>
      <c r="B452"/>
      <c r="C452"/>
      <c r="D452"/>
      <c r="E452"/>
      <c r="F452"/>
      <c r="G452"/>
      <c r="H452"/>
      <c r="I452"/>
      <c r="J452"/>
      <c r="K452"/>
      <c r="L452"/>
      <c r="M452"/>
      <c r="N452"/>
      <c r="O452"/>
      <c r="P452"/>
      <c r="Q452"/>
      <c r="R452"/>
      <c r="S452"/>
      <c r="T452"/>
      <c r="U452"/>
      <c r="V452"/>
      <c r="W452"/>
      <c r="X452"/>
    </row>
    <row r="453" spans="1:24" ht="15" x14ac:dyDescent="0.25">
      <c r="A453"/>
      <c r="B453"/>
      <c r="C453"/>
      <c r="D453"/>
      <c r="E453"/>
      <c r="F453"/>
      <c r="G453"/>
      <c r="H453"/>
      <c r="I453"/>
      <c r="J453"/>
      <c r="K453"/>
      <c r="L453"/>
      <c r="M453"/>
      <c r="N453"/>
      <c r="O453"/>
      <c r="P453"/>
      <c r="Q453"/>
      <c r="R453"/>
      <c r="S453"/>
      <c r="T453"/>
      <c r="U453"/>
      <c r="V453"/>
      <c r="W453"/>
      <c r="X453"/>
    </row>
    <row r="454" spans="1:24" ht="15" x14ac:dyDescent="0.25">
      <c r="A454"/>
      <c r="B454"/>
      <c r="C454"/>
      <c r="D454"/>
      <c r="E454"/>
      <c r="F454"/>
      <c r="G454"/>
      <c r="H454"/>
      <c r="I454"/>
      <c r="J454"/>
      <c r="K454"/>
      <c r="L454"/>
      <c r="M454"/>
      <c r="N454"/>
      <c r="O454"/>
      <c r="P454"/>
      <c r="Q454"/>
      <c r="R454"/>
      <c r="S454"/>
      <c r="T454"/>
      <c r="U454"/>
      <c r="V454"/>
      <c r="W454"/>
      <c r="X454"/>
    </row>
    <row r="455" spans="1:24" ht="15" x14ac:dyDescent="0.25">
      <c r="A455"/>
      <c r="B455"/>
      <c r="C455"/>
      <c r="D455"/>
      <c r="E455"/>
      <c r="F455"/>
      <c r="G455"/>
      <c r="H455"/>
      <c r="I455"/>
      <c r="J455"/>
      <c r="K455"/>
      <c r="L455"/>
      <c r="M455"/>
      <c r="N455"/>
      <c r="O455"/>
      <c r="P455"/>
      <c r="Q455"/>
      <c r="R455"/>
      <c r="S455"/>
      <c r="T455"/>
      <c r="U455"/>
      <c r="V455"/>
      <c r="W455"/>
      <c r="X455"/>
    </row>
    <row r="456" spans="1:24" ht="15" x14ac:dyDescent="0.25">
      <c r="A456"/>
      <c r="B456"/>
      <c r="C456"/>
      <c r="D456"/>
      <c r="E456"/>
      <c r="F456"/>
      <c r="G456"/>
      <c r="H456"/>
      <c r="I456"/>
      <c r="J456"/>
      <c r="K456"/>
      <c r="L456"/>
      <c r="M456"/>
      <c r="N456"/>
      <c r="O456"/>
      <c r="P456"/>
      <c r="Q456"/>
      <c r="R456"/>
      <c r="S456"/>
      <c r="T456"/>
      <c r="U456"/>
      <c r="V456"/>
      <c r="W456"/>
      <c r="X456"/>
    </row>
    <row r="457" spans="1:24" ht="15" x14ac:dyDescent="0.25">
      <c r="A457"/>
      <c r="B457"/>
      <c r="C457"/>
      <c r="D457"/>
      <c r="E457"/>
      <c r="F457"/>
      <c r="G457"/>
      <c r="H457"/>
      <c r="I457"/>
      <c r="J457"/>
      <c r="K457"/>
      <c r="L457"/>
      <c r="M457"/>
      <c r="N457"/>
      <c r="O457"/>
      <c r="P457"/>
      <c r="Q457"/>
      <c r="R457"/>
      <c r="S457"/>
      <c r="T457"/>
      <c r="U457"/>
      <c r="V457"/>
      <c r="W457"/>
      <c r="X457"/>
    </row>
    <row r="458" spans="1:24" ht="15" x14ac:dyDescent="0.25">
      <c r="A458"/>
      <c r="B458"/>
      <c r="C458"/>
      <c r="D458"/>
      <c r="E458"/>
      <c r="F458"/>
      <c r="G458"/>
      <c r="H458"/>
      <c r="I458"/>
      <c r="J458"/>
      <c r="K458"/>
      <c r="L458"/>
      <c r="M458"/>
      <c r="N458"/>
      <c r="O458"/>
      <c r="P458"/>
      <c r="Q458"/>
      <c r="R458"/>
      <c r="S458"/>
      <c r="T458"/>
      <c r="U458"/>
      <c r="V458"/>
      <c r="W458"/>
      <c r="X458"/>
    </row>
    <row r="459" spans="1:24" ht="15" x14ac:dyDescent="0.25">
      <c r="A459"/>
      <c r="B459"/>
      <c r="C459"/>
      <c r="D459"/>
      <c r="E459"/>
      <c r="F459"/>
      <c r="G459"/>
      <c r="H459"/>
      <c r="I459"/>
      <c r="J459"/>
      <c r="K459"/>
      <c r="L459"/>
      <c r="M459"/>
      <c r="N459"/>
      <c r="O459"/>
      <c r="P459"/>
      <c r="Q459"/>
      <c r="R459"/>
      <c r="S459"/>
      <c r="T459"/>
      <c r="U459"/>
      <c r="V459"/>
      <c r="W459"/>
      <c r="X459"/>
    </row>
    <row r="460" spans="1:24" ht="15" x14ac:dyDescent="0.25">
      <c r="A460"/>
      <c r="B460"/>
      <c r="C460"/>
      <c r="D460"/>
      <c r="E460"/>
      <c r="F460"/>
      <c r="G460"/>
      <c r="H460"/>
      <c r="I460"/>
      <c r="J460"/>
      <c r="K460"/>
      <c r="L460"/>
      <c r="M460"/>
      <c r="N460"/>
      <c r="O460"/>
      <c r="P460"/>
      <c r="Q460"/>
      <c r="R460"/>
      <c r="S460"/>
      <c r="T460"/>
      <c r="U460"/>
      <c r="V460"/>
      <c r="W460"/>
      <c r="X460"/>
    </row>
    <row r="461" spans="1:24" ht="15" x14ac:dyDescent="0.25">
      <c r="A461"/>
      <c r="B461"/>
      <c r="C461"/>
      <c r="D461"/>
      <c r="E461"/>
      <c r="F461"/>
      <c r="G461"/>
      <c r="H461"/>
      <c r="I461"/>
      <c r="J461"/>
      <c r="K461"/>
      <c r="L461"/>
      <c r="M461"/>
      <c r="N461"/>
      <c r="O461"/>
      <c r="P461"/>
      <c r="Q461"/>
      <c r="R461"/>
      <c r="S461"/>
      <c r="T461"/>
      <c r="U461"/>
      <c r="V461"/>
      <c r="W461"/>
      <c r="X461"/>
    </row>
    <row r="462" spans="1:24" ht="15" x14ac:dyDescent="0.25">
      <c r="A462"/>
      <c r="B462"/>
      <c r="C462"/>
      <c r="D462"/>
      <c r="E462"/>
      <c r="F462"/>
      <c r="G462"/>
      <c r="H462"/>
      <c r="I462"/>
      <c r="J462"/>
      <c r="K462"/>
      <c r="L462"/>
      <c r="M462"/>
      <c r="N462"/>
      <c r="O462"/>
      <c r="P462"/>
      <c r="Q462"/>
      <c r="R462"/>
      <c r="S462"/>
      <c r="T462"/>
      <c r="U462"/>
      <c r="V462"/>
      <c r="W462"/>
      <c r="X462"/>
    </row>
    <row r="463" spans="1:24" ht="15" x14ac:dyDescent="0.25">
      <c r="A463"/>
      <c r="B463"/>
      <c r="C463"/>
      <c r="D463"/>
      <c r="E463"/>
      <c r="F463"/>
      <c r="G463"/>
      <c r="H463"/>
      <c r="I463"/>
      <c r="J463"/>
      <c r="K463"/>
      <c r="L463"/>
      <c r="M463"/>
      <c r="N463"/>
      <c r="O463"/>
      <c r="P463"/>
      <c r="Q463"/>
      <c r="R463"/>
      <c r="S463"/>
      <c r="T463"/>
      <c r="U463"/>
      <c r="V463"/>
      <c r="W463"/>
      <c r="X463"/>
    </row>
    <row r="464" spans="1:24" ht="15" x14ac:dyDescent="0.25">
      <c r="A464"/>
      <c r="B464"/>
      <c r="C464"/>
      <c r="D464"/>
      <c r="E464"/>
      <c r="F464"/>
      <c r="G464"/>
      <c r="H464"/>
      <c r="I464"/>
      <c r="J464"/>
      <c r="K464"/>
      <c r="L464"/>
      <c r="M464"/>
      <c r="N464"/>
      <c r="O464"/>
      <c r="P464"/>
      <c r="Q464"/>
      <c r="R464"/>
      <c r="S464"/>
      <c r="T464"/>
      <c r="U464"/>
      <c r="V464"/>
      <c r="W464"/>
      <c r="X464"/>
    </row>
    <row r="465" spans="1:24" ht="15" x14ac:dyDescent="0.25">
      <c r="A465"/>
      <c r="B465"/>
      <c r="C465"/>
      <c r="D465"/>
      <c r="E465"/>
      <c r="F465"/>
      <c r="G465"/>
      <c r="H465"/>
      <c r="I465"/>
      <c r="J465"/>
      <c r="K465"/>
      <c r="L465"/>
      <c r="M465"/>
      <c r="N465"/>
      <c r="O465"/>
      <c r="P465"/>
      <c r="Q465"/>
      <c r="R465"/>
      <c r="S465"/>
      <c r="T465"/>
      <c r="U465"/>
      <c r="V465"/>
      <c r="W465"/>
      <c r="X465"/>
    </row>
    <row r="466" spans="1:24" ht="15" x14ac:dyDescent="0.25">
      <c r="A466"/>
      <c r="B466"/>
      <c r="C466"/>
      <c r="D466"/>
      <c r="E466"/>
      <c r="F466"/>
      <c r="G466"/>
      <c r="H466"/>
      <c r="I466"/>
      <c r="J466"/>
      <c r="K466"/>
      <c r="L466"/>
      <c r="M466"/>
      <c r="N466"/>
      <c r="O466"/>
      <c r="P466"/>
      <c r="Q466"/>
      <c r="R466"/>
      <c r="S466"/>
      <c r="T466"/>
      <c r="U466"/>
      <c r="V466"/>
      <c r="W466"/>
      <c r="X466"/>
    </row>
    <row r="467" spans="1:24" ht="15" x14ac:dyDescent="0.25">
      <c r="A467"/>
      <c r="B467"/>
      <c r="C467"/>
      <c r="D467"/>
      <c r="E467"/>
      <c r="F467"/>
      <c r="G467"/>
      <c r="H467"/>
      <c r="I467"/>
      <c r="J467"/>
      <c r="K467"/>
      <c r="L467"/>
      <c r="M467"/>
      <c r="N467"/>
      <c r="O467"/>
      <c r="P467"/>
      <c r="Q467"/>
      <c r="R467"/>
      <c r="S467"/>
      <c r="T467"/>
      <c r="U467"/>
      <c r="V467"/>
      <c r="W467"/>
      <c r="X467"/>
    </row>
    <row r="468" spans="1:24" ht="15" x14ac:dyDescent="0.25">
      <c r="A468"/>
      <c r="B468"/>
      <c r="C468"/>
      <c r="D468"/>
      <c r="E468"/>
      <c r="F468"/>
      <c r="G468"/>
      <c r="H468"/>
      <c r="I468"/>
      <c r="J468"/>
      <c r="K468"/>
      <c r="L468"/>
      <c r="M468"/>
      <c r="N468"/>
      <c r="O468"/>
      <c r="P468"/>
      <c r="Q468"/>
      <c r="R468"/>
      <c r="S468"/>
      <c r="T468"/>
      <c r="U468"/>
      <c r="V468"/>
      <c r="W468"/>
      <c r="X468"/>
    </row>
    <row r="469" spans="1:24" ht="15" x14ac:dyDescent="0.25">
      <c r="A469"/>
      <c r="B469"/>
      <c r="C469"/>
      <c r="D469"/>
      <c r="E469"/>
      <c r="F469"/>
      <c r="G469"/>
      <c r="H469"/>
      <c r="I469"/>
      <c r="J469"/>
      <c r="K469"/>
      <c r="L469"/>
      <c r="M469"/>
      <c r="N469"/>
      <c r="O469"/>
      <c r="P469"/>
      <c r="Q469"/>
      <c r="R469"/>
      <c r="S469"/>
      <c r="T469"/>
      <c r="U469"/>
      <c r="V469"/>
      <c r="W469"/>
      <c r="X469"/>
    </row>
    <row r="470" spans="1:24" ht="15" x14ac:dyDescent="0.25">
      <c r="A470"/>
      <c r="B470"/>
      <c r="C470"/>
      <c r="D470"/>
      <c r="E470"/>
      <c r="F470"/>
      <c r="G470"/>
      <c r="H470"/>
      <c r="I470"/>
      <c r="J470"/>
      <c r="K470"/>
      <c r="L470"/>
      <c r="M470"/>
      <c r="N470"/>
      <c r="O470"/>
      <c r="P470"/>
      <c r="Q470"/>
      <c r="R470"/>
      <c r="S470"/>
      <c r="T470"/>
      <c r="U470"/>
      <c r="V470"/>
      <c r="W470"/>
      <c r="X470"/>
    </row>
    <row r="471" spans="1:24" ht="15" x14ac:dyDescent="0.25">
      <c r="A471"/>
      <c r="B471"/>
      <c r="C471"/>
      <c r="D471"/>
      <c r="E471"/>
      <c r="F471"/>
      <c r="G471"/>
      <c r="H471"/>
      <c r="I471"/>
      <c r="J471"/>
      <c r="K471"/>
      <c r="L471"/>
      <c r="M471"/>
      <c r="N471"/>
      <c r="O471"/>
      <c r="P471"/>
      <c r="Q471"/>
      <c r="R471"/>
      <c r="S471"/>
      <c r="T471"/>
      <c r="U471"/>
      <c r="V471"/>
      <c r="W471"/>
      <c r="X471"/>
    </row>
    <row r="472" spans="1:24" ht="15" x14ac:dyDescent="0.25">
      <c r="A472"/>
      <c r="B472"/>
      <c r="C472"/>
      <c r="D472"/>
      <c r="E472"/>
      <c r="F472"/>
      <c r="G472"/>
      <c r="H472"/>
      <c r="I472"/>
      <c r="J472"/>
      <c r="K472"/>
      <c r="L472"/>
      <c r="M472"/>
      <c r="N472"/>
      <c r="O472"/>
      <c r="P472"/>
      <c r="Q472"/>
      <c r="R472"/>
      <c r="S472"/>
      <c r="T472"/>
      <c r="U472"/>
      <c r="V472"/>
      <c r="W472"/>
      <c r="X472"/>
    </row>
    <row r="473" spans="1:24" ht="15" x14ac:dyDescent="0.25">
      <c r="A473"/>
      <c r="B473"/>
      <c r="C473"/>
      <c r="D473"/>
      <c r="E473"/>
      <c r="F473"/>
      <c r="G473"/>
      <c r="H473"/>
      <c r="I473"/>
      <c r="J473"/>
      <c r="K473"/>
      <c r="L473"/>
      <c r="M473"/>
      <c r="N473"/>
      <c r="O473"/>
      <c r="P473"/>
      <c r="Q473"/>
      <c r="R473"/>
      <c r="S473"/>
      <c r="T473"/>
      <c r="U473"/>
      <c r="V473"/>
      <c r="W473"/>
      <c r="X473"/>
    </row>
    <row r="474" spans="1:24" ht="15" x14ac:dyDescent="0.25">
      <c r="A474"/>
      <c r="B474"/>
      <c r="C474"/>
      <c r="D474"/>
      <c r="E474"/>
      <c r="F474"/>
      <c r="G474"/>
      <c r="H474"/>
      <c r="I474"/>
      <c r="J474"/>
      <c r="K474"/>
      <c r="L474"/>
      <c r="M474"/>
      <c r="N474"/>
      <c r="O474"/>
      <c r="P474"/>
      <c r="Q474"/>
      <c r="R474"/>
      <c r="S474"/>
      <c r="T474"/>
      <c r="U474"/>
      <c r="V474"/>
      <c r="W474"/>
      <c r="X474"/>
    </row>
    <row r="475" spans="1:24" ht="15" x14ac:dyDescent="0.25">
      <c r="A475"/>
      <c r="B475"/>
      <c r="C475"/>
      <c r="D475"/>
      <c r="E475"/>
      <c r="F475"/>
      <c r="G475"/>
      <c r="H475"/>
      <c r="I475"/>
      <c r="J475"/>
      <c r="K475"/>
      <c r="L475"/>
      <c r="M475"/>
      <c r="N475"/>
      <c r="O475"/>
      <c r="P475"/>
      <c r="Q475"/>
      <c r="R475"/>
      <c r="S475"/>
      <c r="T475"/>
      <c r="U475"/>
      <c r="V475"/>
      <c r="W475"/>
      <c r="X475"/>
    </row>
    <row r="476" spans="1:24" ht="15" x14ac:dyDescent="0.25">
      <c r="A476"/>
      <c r="B476"/>
      <c r="C476"/>
      <c r="D476"/>
      <c r="E476"/>
      <c r="F476"/>
      <c r="G476"/>
      <c r="H476"/>
      <c r="I476"/>
      <c r="J476"/>
      <c r="K476"/>
      <c r="L476"/>
      <c r="M476"/>
      <c r="N476"/>
      <c r="O476"/>
      <c r="P476"/>
      <c r="Q476"/>
      <c r="R476"/>
      <c r="S476"/>
      <c r="T476"/>
      <c r="U476"/>
      <c r="V476"/>
      <c r="W476"/>
      <c r="X476"/>
    </row>
    <row r="477" spans="1:24" ht="15" x14ac:dyDescent="0.25">
      <c r="A477"/>
      <c r="B477"/>
      <c r="C477"/>
      <c r="D477"/>
      <c r="E477"/>
      <c r="F477"/>
      <c r="G477"/>
      <c r="H477"/>
      <c r="I477"/>
      <c r="J477"/>
      <c r="K477"/>
      <c r="L477"/>
      <c r="M477"/>
      <c r="N477"/>
      <c r="O477"/>
      <c r="P477"/>
      <c r="Q477"/>
      <c r="R477"/>
      <c r="S477"/>
      <c r="T477"/>
      <c r="U477"/>
      <c r="V477"/>
      <c r="W477"/>
      <c r="X477"/>
    </row>
    <row r="478" spans="1:24" ht="15" x14ac:dyDescent="0.25">
      <c r="A478"/>
      <c r="B478"/>
      <c r="C478"/>
      <c r="D478"/>
      <c r="E478"/>
      <c r="F478"/>
      <c r="G478"/>
      <c r="H478"/>
      <c r="I478"/>
      <c r="J478"/>
      <c r="K478"/>
      <c r="L478"/>
      <c r="M478"/>
      <c r="N478"/>
      <c r="O478"/>
      <c r="P478"/>
      <c r="Q478"/>
      <c r="R478"/>
      <c r="S478"/>
      <c r="T478"/>
      <c r="U478"/>
      <c r="V478"/>
      <c r="W478"/>
      <c r="X478"/>
    </row>
    <row r="479" spans="1:24" ht="15" x14ac:dyDescent="0.25">
      <c r="A479"/>
      <c r="B479"/>
      <c r="C479"/>
      <c r="D479"/>
      <c r="E479"/>
      <c r="F479"/>
      <c r="G479"/>
      <c r="H479"/>
      <c r="I479"/>
      <c r="J479"/>
      <c r="K479"/>
      <c r="L479"/>
      <c r="M479"/>
      <c r="N479"/>
      <c r="O479"/>
      <c r="P479"/>
      <c r="Q479"/>
      <c r="R479"/>
      <c r="S479"/>
      <c r="T479"/>
      <c r="U479"/>
      <c r="V479"/>
      <c r="W479"/>
      <c r="X479"/>
    </row>
    <row r="480" spans="1:24" ht="15" x14ac:dyDescent="0.25">
      <c r="A480"/>
      <c r="B480"/>
      <c r="C480"/>
      <c r="D480"/>
      <c r="E480"/>
      <c r="F480"/>
      <c r="G480"/>
      <c r="H480"/>
      <c r="I480"/>
      <c r="J480"/>
      <c r="K480"/>
      <c r="L480"/>
      <c r="M480"/>
      <c r="N480"/>
      <c r="O480"/>
      <c r="P480"/>
      <c r="Q480"/>
      <c r="R480"/>
      <c r="S480"/>
      <c r="T480"/>
      <c r="U480"/>
      <c r="V480"/>
      <c r="W480"/>
      <c r="X480"/>
    </row>
    <row r="481" spans="1:24" ht="15" x14ac:dyDescent="0.25">
      <c r="A481"/>
      <c r="B481"/>
      <c r="C481"/>
      <c r="D481"/>
      <c r="E481"/>
      <c r="F481"/>
      <c r="G481"/>
      <c r="H481"/>
      <c r="I481"/>
      <c r="J481"/>
      <c r="K481"/>
      <c r="L481"/>
      <c r="M481"/>
      <c r="N481"/>
      <c r="O481"/>
      <c r="P481"/>
      <c r="Q481"/>
      <c r="R481"/>
      <c r="S481"/>
      <c r="T481"/>
      <c r="U481"/>
      <c r="V481"/>
      <c r="W481"/>
      <c r="X481"/>
    </row>
    <row r="482" spans="1:24" ht="15" x14ac:dyDescent="0.25">
      <c r="A482"/>
      <c r="B482"/>
      <c r="C482"/>
      <c r="D482"/>
      <c r="E482"/>
      <c r="F482"/>
      <c r="G482"/>
      <c r="H482"/>
      <c r="I482"/>
      <c r="J482"/>
      <c r="K482"/>
      <c r="L482"/>
      <c r="M482"/>
      <c r="N482"/>
      <c r="O482"/>
      <c r="P482"/>
      <c r="Q482"/>
      <c r="R482"/>
      <c r="S482"/>
      <c r="T482"/>
      <c r="U482"/>
      <c r="V482"/>
      <c r="W482"/>
      <c r="X482"/>
    </row>
    <row r="483" spans="1:24" ht="15" x14ac:dyDescent="0.25">
      <c r="A483"/>
      <c r="B483"/>
      <c r="C483"/>
      <c r="D483"/>
      <c r="E483"/>
      <c r="F483"/>
      <c r="G483"/>
      <c r="H483"/>
      <c r="I483"/>
      <c r="J483"/>
      <c r="K483"/>
      <c r="L483"/>
      <c r="M483"/>
      <c r="N483"/>
      <c r="O483"/>
      <c r="P483"/>
      <c r="Q483"/>
      <c r="R483"/>
      <c r="S483"/>
      <c r="T483"/>
      <c r="U483"/>
      <c r="V483"/>
      <c r="W483"/>
      <c r="X483"/>
    </row>
    <row r="484" spans="1:24" ht="15" x14ac:dyDescent="0.25">
      <c r="A484"/>
      <c r="B484"/>
      <c r="C484"/>
      <c r="D484"/>
      <c r="E484"/>
      <c r="F484"/>
      <c r="G484"/>
      <c r="H484"/>
      <c r="I484"/>
      <c r="J484"/>
      <c r="K484"/>
      <c r="L484"/>
      <c r="M484"/>
      <c r="N484"/>
      <c r="O484"/>
      <c r="P484"/>
      <c r="Q484"/>
      <c r="R484"/>
      <c r="S484"/>
      <c r="T484"/>
      <c r="U484"/>
      <c r="V484"/>
      <c r="W484"/>
      <c r="X484"/>
    </row>
    <row r="485" spans="1:24" ht="15" x14ac:dyDescent="0.25">
      <c r="A485"/>
      <c r="B485"/>
      <c r="C485"/>
      <c r="D485"/>
      <c r="E485"/>
      <c r="F485"/>
      <c r="G485"/>
      <c r="H485"/>
      <c r="I485"/>
      <c r="J485"/>
      <c r="K485"/>
      <c r="L485"/>
      <c r="M485"/>
      <c r="N485"/>
      <c r="O485"/>
      <c r="P485"/>
      <c r="Q485"/>
      <c r="R485"/>
      <c r="S485"/>
      <c r="T485"/>
      <c r="U485"/>
      <c r="V485"/>
      <c r="W485"/>
      <c r="X485"/>
    </row>
    <row r="486" spans="1:24" ht="15" x14ac:dyDescent="0.25">
      <c r="A486"/>
      <c r="B486"/>
      <c r="C486"/>
      <c r="D486"/>
      <c r="E486"/>
      <c r="F486"/>
      <c r="G486"/>
      <c r="H486"/>
      <c r="I486"/>
      <c r="J486"/>
      <c r="K486"/>
      <c r="L486"/>
      <c r="M486"/>
      <c r="N486"/>
      <c r="O486"/>
      <c r="P486"/>
      <c r="Q486"/>
      <c r="R486"/>
      <c r="S486"/>
      <c r="T486"/>
      <c r="U486"/>
      <c r="V486"/>
      <c r="W486"/>
      <c r="X486"/>
    </row>
    <row r="487" spans="1:24" ht="15" x14ac:dyDescent="0.25">
      <c r="A487"/>
      <c r="B487"/>
      <c r="C487"/>
      <c r="D487"/>
      <c r="E487"/>
      <c r="F487"/>
      <c r="G487"/>
      <c r="H487"/>
      <c r="I487"/>
      <c r="J487"/>
      <c r="K487"/>
      <c r="L487"/>
      <c r="M487"/>
      <c r="N487"/>
      <c r="O487"/>
      <c r="P487"/>
      <c r="Q487"/>
      <c r="R487"/>
      <c r="S487"/>
      <c r="T487"/>
      <c r="U487"/>
      <c r="V487"/>
      <c r="W487"/>
      <c r="X487"/>
    </row>
    <row r="488" spans="1:24" ht="15" x14ac:dyDescent="0.25">
      <c r="A488"/>
      <c r="B488"/>
      <c r="C488"/>
      <c r="D488"/>
      <c r="E488"/>
      <c r="F488"/>
      <c r="G488"/>
      <c r="H488"/>
      <c r="I488"/>
      <c r="J488"/>
      <c r="K488"/>
      <c r="L488"/>
      <c r="M488"/>
      <c r="N488"/>
      <c r="O488"/>
      <c r="P488"/>
      <c r="Q488"/>
      <c r="R488"/>
      <c r="S488"/>
      <c r="T488"/>
      <c r="U488"/>
      <c r="V488"/>
      <c r="W488"/>
      <c r="X488"/>
    </row>
    <row r="489" spans="1:24" ht="15" x14ac:dyDescent="0.25">
      <c r="A489"/>
      <c r="B489"/>
      <c r="C489"/>
      <c r="D489"/>
      <c r="E489"/>
      <c r="F489"/>
      <c r="G489"/>
      <c r="H489"/>
      <c r="I489"/>
      <c r="J489"/>
      <c r="K489"/>
      <c r="L489"/>
      <c r="M489"/>
      <c r="N489"/>
      <c r="O489"/>
      <c r="P489"/>
      <c r="Q489"/>
      <c r="R489"/>
      <c r="S489"/>
      <c r="T489"/>
      <c r="U489"/>
      <c r="V489"/>
      <c r="W489"/>
      <c r="X489"/>
    </row>
    <row r="490" spans="1:24" ht="15" x14ac:dyDescent="0.25">
      <c r="A490"/>
      <c r="B490"/>
      <c r="C490"/>
      <c r="D490"/>
      <c r="E490"/>
      <c r="F490"/>
      <c r="G490"/>
      <c r="H490"/>
      <c r="I490"/>
      <c r="J490"/>
      <c r="K490"/>
      <c r="L490"/>
      <c r="M490"/>
      <c r="N490"/>
      <c r="O490"/>
      <c r="P490"/>
      <c r="Q490"/>
      <c r="R490"/>
      <c r="S490"/>
      <c r="T490"/>
      <c r="U490"/>
      <c r="V490"/>
      <c r="W490"/>
      <c r="X490"/>
    </row>
    <row r="491" spans="1:24" ht="15" x14ac:dyDescent="0.25">
      <c r="A491"/>
      <c r="B491"/>
      <c r="C491"/>
      <c r="D491"/>
      <c r="E491"/>
      <c r="F491"/>
      <c r="G491"/>
      <c r="H491"/>
      <c r="I491"/>
      <c r="J491"/>
      <c r="K491"/>
      <c r="L491"/>
      <c r="M491"/>
      <c r="N491"/>
      <c r="O491"/>
      <c r="P491"/>
      <c r="Q491"/>
      <c r="R491"/>
      <c r="S491"/>
      <c r="T491"/>
      <c r="U491"/>
      <c r="V491"/>
      <c r="W491"/>
      <c r="X491"/>
    </row>
    <row r="492" spans="1:24" ht="15" x14ac:dyDescent="0.25">
      <c r="A492"/>
      <c r="B492"/>
      <c r="C492"/>
      <c r="D492"/>
      <c r="E492"/>
      <c r="F492"/>
      <c r="G492"/>
      <c r="H492"/>
      <c r="I492"/>
      <c r="J492"/>
      <c r="K492"/>
      <c r="L492"/>
      <c r="M492"/>
      <c r="N492"/>
      <c r="O492"/>
      <c r="P492"/>
      <c r="Q492"/>
      <c r="R492"/>
      <c r="S492"/>
      <c r="T492"/>
      <c r="U492"/>
      <c r="V492"/>
      <c r="W492"/>
      <c r="X492"/>
    </row>
    <row r="493" spans="1:24" ht="15" x14ac:dyDescent="0.25">
      <c r="A493"/>
      <c r="B493"/>
      <c r="C493"/>
      <c r="D493"/>
      <c r="E493"/>
      <c r="F493"/>
      <c r="G493"/>
      <c r="H493"/>
      <c r="I493"/>
      <c r="J493"/>
      <c r="K493"/>
      <c r="L493"/>
      <c r="M493"/>
      <c r="N493"/>
      <c r="O493"/>
      <c r="P493"/>
      <c r="Q493"/>
      <c r="R493"/>
      <c r="S493"/>
      <c r="T493"/>
      <c r="U493"/>
      <c r="V493"/>
      <c r="W493"/>
      <c r="X493"/>
    </row>
    <row r="494" spans="1:24" ht="15" x14ac:dyDescent="0.25">
      <c r="A494"/>
      <c r="B494"/>
      <c r="C494"/>
      <c r="D494"/>
      <c r="E494"/>
      <c r="F494"/>
      <c r="G494"/>
      <c r="H494"/>
      <c r="I494"/>
      <c r="J494"/>
      <c r="K494"/>
      <c r="L494"/>
      <c r="M494"/>
      <c r="N494"/>
      <c r="O494"/>
      <c r="P494"/>
      <c r="Q494"/>
      <c r="R494"/>
      <c r="S494"/>
      <c r="T494"/>
      <c r="U494"/>
      <c r="V494"/>
      <c r="W494"/>
      <c r="X494"/>
    </row>
    <row r="495" spans="1:24" ht="15" x14ac:dyDescent="0.25">
      <c r="A495"/>
      <c r="B495"/>
      <c r="C495"/>
      <c r="D495"/>
      <c r="E495"/>
      <c r="F495"/>
      <c r="G495"/>
      <c r="H495"/>
      <c r="I495"/>
      <c r="J495"/>
      <c r="K495"/>
      <c r="L495"/>
      <c r="M495"/>
      <c r="N495"/>
      <c r="O495"/>
      <c r="P495"/>
      <c r="Q495"/>
      <c r="R495"/>
      <c r="S495"/>
      <c r="T495"/>
      <c r="U495"/>
      <c r="V495"/>
      <c r="W495"/>
      <c r="X495"/>
    </row>
    <row r="496" spans="1:24" ht="15" x14ac:dyDescent="0.25">
      <c r="A496"/>
      <c r="B496"/>
      <c r="C496"/>
      <c r="D496"/>
      <c r="E496"/>
      <c r="F496"/>
      <c r="G496"/>
      <c r="H496"/>
      <c r="I496"/>
      <c r="J496"/>
      <c r="K496"/>
      <c r="L496"/>
      <c r="M496"/>
      <c r="N496"/>
      <c r="O496"/>
      <c r="P496"/>
      <c r="Q496"/>
      <c r="R496"/>
      <c r="S496"/>
      <c r="T496"/>
      <c r="U496"/>
      <c r="V496"/>
      <c r="W496"/>
      <c r="X496"/>
    </row>
    <row r="497" spans="1:24" ht="15" x14ac:dyDescent="0.25">
      <c r="A497"/>
      <c r="B497"/>
      <c r="C497"/>
      <c r="D497"/>
      <c r="E497"/>
      <c r="F497"/>
      <c r="G497"/>
      <c r="H497"/>
      <c r="I497"/>
      <c r="J497"/>
      <c r="K497"/>
      <c r="L497"/>
      <c r="M497"/>
      <c r="N497"/>
      <c r="O497"/>
      <c r="P497"/>
      <c r="Q497"/>
      <c r="R497"/>
      <c r="S497"/>
      <c r="T497"/>
      <c r="U497"/>
      <c r="V497"/>
      <c r="W497"/>
      <c r="X497"/>
    </row>
    <row r="498" spans="1:24" ht="15" x14ac:dyDescent="0.25">
      <c r="A498"/>
      <c r="B498"/>
      <c r="C498"/>
      <c r="D498"/>
      <c r="E498"/>
      <c r="F498"/>
      <c r="G498"/>
      <c r="H498"/>
      <c r="I498"/>
      <c r="J498"/>
      <c r="K498"/>
      <c r="L498"/>
      <c r="M498"/>
      <c r="N498"/>
      <c r="O498"/>
      <c r="P498"/>
      <c r="Q498"/>
      <c r="R498"/>
      <c r="S498"/>
      <c r="T498"/>
      <c r="U498"/>
      <c r="V498"/>
      <c r="W498"/>
      <c r="X498"/>
    </row>
    <row r="499" spans="1:24" ht="15" x14ac:dyDescent="0.25">
      <c r="A499"/>
      <c r="B499"/>
      <c r="C499"/>
      <c r="D499"/>
      <c r="E499"/>
      <c r="F499"/>
      <c r="G499"/>
      <c r="H499"/>
      <c r="I499"/>
      <c r="J499"/>
      <c r="K499"/>
      <c r="L499"/>
      <c r="M499"/>
      <c r="N499"/>
      <c r="O499"/>
      <c r="P499"/>
      <c r="Q499"/>
      <c r="R499"/>
      <c r="S499"/>
      <c r="T499"/>
      <c r="U499"/>
      <c r="V499"/>
      <c r="W499"/>
      <c r="X499"/>
    </row>
    <row r="500" spans="1:24" ht="15" x14ac:dyDescent="0.25">
      <c r="A500"/>
      <c r="B500"/>
      <c r="C500"/>
      <c r="D500"/>
      <c r="E500"/>
      <c r="F500"/>
      <c r="G500"/>
      <c r="H500"/>
      <c r="I500"/>
      <c r="J500"/>
      <c r="K500"/>
      <c r="L500"/>
      <c r="M500"/>
      <c r="N500"/>
      <c r="O500"/>
      <c r="P500"/>
      <c r="Q500"/>
      <c r="R500"/>
      <c r="S500"/>
      <c r="T500"/>
      <c r="U500"/>
      <c r="V500"/>
      <c r="W500"/>
      <c r="X500"/>
    </row>
    <row r="501" spans="1:24" ht="15" x14ac:dyDescent="0.25">
      <c r="A501"/>
      <c r="B501"/>
      <c r="C501"/>
      <c r="D501"/>
      <c r="E501"/>
      <c r="F501"/>
      <c r="G501"/>
      <c r="H501"/>
      <c r="I501"/>
      <c r="J501"/>
      <c r="K501"/>
      <c r="L501"/>
      <c r="M501"/>
      <c r="N501"/>
      <c r="O501"/>
      <c r="P501"/>
      <c r="Q501"/>
      <c r="R501"/>
      <c r="S501"/>
      <c r="T501"/>
      <c r="U501"/>
      <c r="V501"/>
      <c r="W501"/>
      <c r="X501"/>
    </row>
    <row r="502" spans="1:24" ht="15" x14ac:dyDescent="0.25">
      <c r="A502"/>
      <c r="B502"/>
      <c r="C502"/>
      <c r="D502"/>
      <c r="E502"/>
      <c r="F502"/>
      <c r="G502"/>
      <c r="H502"/>
      <c r="I502"/>
      <c r="J502"/>
      <c r="K502"/>
      <c r="L502"/>
      <c r="M502"/>
      <c r="N502"/>
      <c r="O502"/>
      <c r="P502"/>
      <c r="Q502"/>
      <c r="R502"/>
      <c r="S502"/>
      <c r="T502"/>
      <c r="U502"/>
      <c r="V502"/>
      <c r="W502"/>
      <c r="X502"/>
    </row>
    <row r="503" spans="1:24" ht="15" x14ac:dyDescent="0.25">
      <c r="A503"/>
      <c r="B503"/>
      <c r="C503"/>
      <c r="D503"/>
      <c r="E503"/>
      <c r="F503"/>
      <c r="G503"/>
      <c r="H503"/>
      <c r="I503"/>
      <c r="J503"/>
      <c r="K503"/>
      <c r="L503"/>
      <c r="M503"/>
      <c r="N503"/>
      <c r="O503"/>
      <c r="P503"/>
      <c r="Q503"/>
      <c r="R503"/>
      <c r="S503"/>
      <c r="T503"/>
      <c r="U503"/>
      <c r="V503"/>
      <c r="W503"/>
      <c r="X503"/>
    </row>
    <row r="504" spans="1:24" ht="15" x14ac:dyDescent="0.25">
      <c r="A504"/>
      <c r="B504"/>
      <c r="C504"/>
      <c r="D504"/>
      <c r="E504"/>
      <c r="F504"/>
      <c r="G504"/>
      <c r="H504"/>
      <c r="I504"/>
      <c r="J504"/>
      <c r="K504"/>
      <c r="L504"/>
      <c r="M504"/>
      <c r="N504"/>
      <c r="O504"/>
      <c r="P504"/>
      <c r="Q504"/>
      <c r="R504"/>
      <c r="S504"/>
      <c r="T504"/>
      <c r="U504"/>
      <c r="V504"/>
      <c r="W504"/>
      <c r="X504"/>
    </row>
    <row r="505" spans="1:24" ht="15" x14ac:dyDescent="0.25">
      <c r="A505"/>
      <c r="B505"/>
      <c r="C505"/>
      <c r="D505"/>
      <c r="E505"/>
      <c r="F505"/>
      <c r="G505"/>
      <c r="H505"/>
      <c r="I505"/>
      <c r="J505"/>
      <c r="K505"/>
      <c r="L505"/>
      <c r="M505"/>
      <c r="N505"/>
      <c r="O505"/>
      <c r="P505"/>
      <c r="Q505"/>
      <c r="R505"/>
      <c r="S505"/>
      <c r="T505"/>
      <c r="U505"/>
      <c r="V505"/>
      <c r="W505"/>
      <c r="X505"/>
    </row>
    <row r="506" spans="1:24" ht="15" x14ac:dyDescent="0.25">
      <c r="A506"/>
      <c r="B506"/>
      <c r="C506"/>
      <c r="D506"/>
      <c r="E506"/>
      <c r="F506"/>
      <c r="G506"/>
      <c r="H506"/>
      <c r="I506"/>
      <c r="J506"/>
      <c r="K506"/>
      <c r="L506"/>
      <c r="M506"/>
      <c r="N506"/>
      <c r="O506"/>
      <c r="P506"/>
      <c r="Q506"/>
      <c r="R506"/>
      <c r="S506"/>
      <c r="T506"/>
      <c r="U506"/>
      <c r="V506"/>
      <c r="W506"/>
      <c r="X506"/>
    </row>
    <row r="507" spans="1:24" ht="15" x14ac:dyDescent="0.25">
      <c r="A507"/>
      <c r="B507"/>
      <c r="C507"/>
      <c r="D507"/>
      <c r="E507"/>
      <c r="F507"/>
      <c r="G507"/>
      <c r="H507"/>
      <c r="I507"/>
      <c r="J507"/>
      <c r="K507"/>
      <c r="L507"/>
      <c r="M507"/>
      <c r="N507"/>
      <c r="O507"/>
      <c r="P507"/>
      <c r="Q507"/>
      <c r="R507"/>
      <c r="S507"/>
      <c r="T507"/>
      <c r="U507"/>
      <c r="V507"/>
      <c r="W507"/>
      <c r="X507"/>
    </row>
    <row r="508" spans="1:24" ht="15" x14ac:dyDescent="0.25">
      <c r="A508"/>
      <c r="B508"/>
      <c r="C508"/>
      <c r="D508"/>
      <c r="E508"/>
      <c r="F508"/>
      <c r="G508"/>
      <c r="H508"/>
      <c r="I508"/>
      <c r="J508"/>
      <c r="K508"/>
      <c r="L508"/>
      <c r="M508"/>
      <c r="N508"/>
      <c r="O508"/>
      <c r="P508"/>
      <c r="Q508"/>
      <c r="R508"/>
      <c r="S508"/>
      <c r="T508"/>
      <c r="U508"/>
      <c r="V508"/>
      <c r="W508"/>
      <c r="X508"/>
    </row>
    <row r="509" spans="1:24" ht="15" x14ac:dyDescent="0.25">
      <c r="A509"/>
      <c r="B509"/>
      <c r="C509"/>
      <c r="D509"/>
      <c r="E509"/>
      <c r="F509"/>
      <c r="G509"/>
      <c r="H509"/>
      <c r="I509"/>
      <c r="J509"/>
      <c r="K509"/>
      <c r="L509"/>
      <c r="M509"/>
      <c r="N509"/>
      <c r="O509"/>
      <c r="P509"/>
      <c r="Q509"/>
      <c r="R509"/>
      <c r="S509"/>
      <c r="T509"/>
      <c r="U509"/>
      <c r="V509"/>
      <c r="W509"/>
      <c r="X509"/>
    </row>
    <row r="510" spans="1:24" ht="15" x14ac:dyDescent="0.25">
      <c r="A510"/>
      <c r="B510"/>
      <c r="C510"/>
      <c r="D510"/>
      <c r="E510"/>
      <c r="F510"/>
      <c r="G510"/>
      <c r="H510"/>
      <c r="I510"/>
      <c r="J510"/>
      <c r="K510"/>
      <c r="L510"/>
      <c r="M510"/>
      <c r="N510"/>
      <c r="O510"/>
      <c r="P510"/>
      <c r="Q510"/>
      <c r="R510"/>
      <c r="S510"/>
      <c r="T510"/>
      <c r="U510"/>
      <c r="V510"/>
      <c r="W510"/>
      <c r="X510"/>
    </row>
    <row r="511" spans="1:24" ht="15" x14ac:dyDescent="0.25">
      <c r="A511"/>
      <c r="B511"/>
      <c r="C511"/>
      <c r="D511"/>
      <c r="E511"/>
      <c r="F511"/>
      <c r="G511"/>
      <c r="H511"/>
      <c r="I511"/>
      <c r="J511"/>
      <c r="K511"/>
      <c r="L511"/>
      <c r="M511"/>
      <c r="N511"/>
      <c r="O511"/>
      <c r="P511"/>
      <c r="Q511"/>
      <c r="R511"/>
      <c r="S511"/>
      <c r="T511"/>
      <c r="U511"/>
      <c r="V511"/>
      <c r="W511"/>
      <c r="X511"/>
    </row>
    <row r="512" spans="1:24" ht="15" x14ac:dyDescent="0.25">
      <c r="A512"/>
      <c r="B512"/>
      <c r="C512"/>
      <c r="D512"/>
      <c r="E512"/>
      <c r="F512"/>
      <c r="G512"/>
      <c r="H512"/>
      <c r="I512"/>
      <c r="J512"/>
      <c r="K512"/>
      <c r="L512"/>
      <c r="M512"/>
      <c r="N512"/>
      <c r="O512"/>
      <c r="P512"/>
      <c r="Q512"/>
      <c r="R512"/>
      <c r="S512"/>
      <c r="T512"/>
      <c r="U512"/>
      <c r="V512"/>
      <c r="W512"/>
      <c r="X512"/>
    </row>
    <row r="513" spans="1:24" ht="15" x14ac:dyDescent="0.25">
      <c r="A513"/>
      <c r="B513"/>
      <c r="C513"/>
      <c r="D513"/>
      <c r="E513"/>
      <c r="F513"/>
      <c r="G513"/>
      <c r="H513"/>
      <c r="I513"/>
      <c r="J513"/>
      <c r="K513"/>
      <c r="L513"/>
      <c r="M513"/>
      <c r="N513"/>
      <c r="O513"/>
      <c r="P513"/>
      <c r="Q513"/>
      <c r="R513"/>
      <c r="S513"/>
      <c r="T513"/>
      <c r="U513"/>
      <c r="V513"/>
      <c r="W513"/>
      <c r="X513"/>
    </row>
    <row r="514" spans="1:24" ht="15" x14ac:dyDescent="0.25">
      <c r="A514"/>
      <c r="B514"/>
      <c r="C514"/>
      <c r="D514"/>
      <c r="E514"/>
      <c r="F514"/>
      <c r="G514"/>
      <c r="H514"/>
      <c r="I514"/>
      <c r="J514"/>
      <c r="K514"/>
      <c r="L514"/>
      <c r="M514"/>
      <c r="N514"/>
      <c r="O514"/>
      <c r="P514"/>
      <c r="Q514"/>
      <c r="R514"/>
      <c r="S514"/>
      <c r="T514"/>
      <c r="U514"/>
      <c r="V514"/>
      <c r="W514"/>
      <c r="X514"/>
    </row>
    <row r="515" spans="1:24" ht="15" x14ac:dyDescent="0.25">
      <c r="A515"/>
      <c r="B515"/>
      <c r="C515"/>
      <c r="D515"/>
      <c r="E515"/>
      <c r="F515"/>
      <c r="G515"/>
      <c r="H515"/>
      <c r="I515"/>
      <c r="J515"/>
      <c r="K515"/>
      <c r="L515"/>
      <c r="M515"/>
      <c r="N515"/>
      <c r="O515"/>
      <c r="P515"/>
      <c r="Q515"/>
      <c r="R515"/>
      <c r="S515"/>
      <c r="T515"/>
      <c r="U515"/>
      <c r="V515"/>
      <c r="W515"/>
      <c r="X515"/>
    </row>
    <row r="516" spans="1:24" ht="15" x14ac:dyDescent="0.25">
      <c r="A516"/>
      <c r="B516"/>
      <c r="C516"/>
      <c r="D516"/>
      <c r="E516"/>
      <c r="F516"/>
      <c r="G516"/>
      <c r="H516"/>
      <c r="I516"/>
      <c r="J516"/>
      <c r="K516"/>
      <c r="L516"/>
      <c r="M516"/>
      <c r="N516"/>
      <c r="O516"/>
      <c r="P516"/>
      <c r="Q516"/>
      <c r="R516"/>
      <c r="S516"/>
      <c r="T516"/>
      <c r="U516"/>
      <c r="V516"/>
      <c r="W516"/>
      <c r="X516"/>
    </row>
    <row r="517" spans="1:24" ht="15" x14ac:dyDescent="0.25">
      <c r="A517"/>
      <c r="B517"/>
      <c r="C517"/>
      <c r="D517"/>
      <c r="E517"/>
      <c r="F517"/>
      <c r="G517"/>
      <c r="H517"/>
      <c r="I517"/>
      <c r="J517"/>
      <c r="K517"/>
      <c r="L517"/>
      <c r="M517"/>
      <c r="N517"/>
      <c r="O517"/>
      <c r="P517"/>
      <c r="Q517"/>
      <c r="R517"/>
      <c r="S517"/>
      <c r="T517"/>
      <c r="U517"/>
      <c r="V517"/>
      <c r="W517"/>
      <c r="X517"/>
    </row>
    <row r="518" spans="1:24" ht="15" x14ac:dyDescent="0.25">
      <c r="A518"/>
      <c r="B518"/>
      <c r="C518"/>
      <c r="D518"/>
      <c r="E518"/>
      <c r="F518"/>
      <c r="G518"/>
      <c r="H518"/>
      <c r="I518"/>
      <c r="J518"/>
      <c r="K518"/>
      <c r="L518"/>
      <c r="M518"/>
      <c r="N518"/>
      <c r="O518"/>
      <c r="P518"/>
      <c r="Q518"/>
      <c r="R518"/>
      <c r="S518"/>
      <c r="T518"/>
      <c r="U518"/>
      <c r="V518"/>
      <c r="W518"/>
      <c r="X518"/>
    </row>
    <row r="519" spans="1:24" ht="15" x14ac:dyDescent="0.25">
      <c r="A519"/>
      <c r="B519"/>
      <c r="C519"/>
      <c r="D519"/>
      <c r="E519"/>
      <c r="F519"/>
      <c r="G519"/>
      <c r="H519"/>
      <c r="I519"/>
      <c r="J519"/>
      <c r="K519"/>
      <c r="L519"/>
      <c r="M519"/>
      <c r="N519"/>
      <c r="O519"/>
      <c r="P519"/>
      <c r="Q519"/>
      <c r="R519"/>
      <c r="S519"/>
      <c r="T519"/>
      <c r="U519"/>
      <c r="V519"/>
      <c r="W519"/>
      <c r="X519"/>
    </row>
    <row r="520" spans="1:24" ht="15" x14ac:dyDescent="0.25">
      <c r="A520"/>
      <c r="B520"/>
      <c r="C520"/>
      <c r="D520"/>
      <c r="E520"/>
      <c r="F520"/>
      <c r="G520"/>
      <c r="H520"/>
      <c r="I520"/>
      <c r="J520"/>
      <c r="K520"/>
      <c r="L520"/>
      <c r="M520"/>
      <c r="N520"/>
      <c r="O520"/>
      <c r="P520"/>
      <c r="Q520"/>
      <c r="R520"/>
      <c r="S520"/>
      <c r="T520"/>
      <c r="U520"/>
      <c r="V520"/>
      <c r="W520"/>
      <c r="X520"/>
    </row>
    <row r="521" spans="1:24" ht="15" x14ac:dyDescent="0.25">
      <c r="A521"/>
      <c r="B521"/>
      <c r="C521"/>
      <c r="D521"/>
      <c r="E521"/>
      <c r="F521"/>
      <c r="G521"/>
      <c r="H521"/>
      <c r="I521"/>
      <c r="J521"/>
      <c r="K521"/>
      <c r="L521"/>
      <c r="M521"/>
      <c r="N521"/>
      <c r="O521"/>
      <c r="P521"/>
      <c r="Q521"/>
      <c r="R521"/>
      <c r="S521"/>
      <c r="T521"/>
      <c r="U521"/>
      <c r="V521"/>
      <c r="W521"/>
      <c r="X521"/>
    </row>
    <row r="522" spans="1:24" ht="15" x14ac:dyDescent="0.25">
      <c r="A522"/>
      <c r="B522"/>
      <c r="C522"/>
      <c r="D522"/>
      <c r="E522"/>
      <c r="F522"/>
      <c r="G522"/>
      <c r="H522"/>
      <c r="I522"/>
      <c r="J522"/>
      <c r="K522"/>
      <c r="L522"/>
      <c r="M522"/>
      <c r="N522"/>
      <c r="O522"/>
      <c r="P522"/>
      <c r="Q522"/>
      <c r="R522"/>
      <c r="S522"/>
      <c r="T522"/>
      <c r="U522"/>
      <c r="V522"/>
      <c r="W522"/>
      <c r="X522"/>
    </row>
    <row r="523" spans="1:24" ht="15" x14ac:dyDescent="0.25">
      <c r="A523"/>
      <c r="B523"/>
      <c r="C523"/>
      <c r="D523"/>
      <c r="E523"/>
      <c r="F523"/>
      <c r="G523"/>
      <c r="H523"/>
      <c r="I523"/>
      <c r="J523"/>
      <c r="K523"/>
      <c r="L523"/>
      <c r="M523"/>
      <c r="N523"/>
      <c r="O523"/>
      <c r="P523"/>
      <c r="Q523"/>
      <c r="R523"/>
      <c r="S523"/>
      <c r="T523"/>
      <c r="U523"/>
      <c r="V523"/>
      <c r="W523"/>
      <c r="X523"/>
    </row>
    <row r="524" spans="1:24" ht="15" x14ac:dyDescent="0.25">
      <c r="A524"/>
      <c r="B524"/>
      <c r="C524"/>
      <c r="D524"/>
      <c r="E524"/>
      <c r="F524"/>
      <c r="G524"/>
      <c r="H524"/>
      <c r="I524"/>
      <c r="J524"/>
      <c r="K524"/>
      <c r="L524"/>
      <c r="M524"/>
      <c r="N524"/>
      <c r="O524"/>
      <c r="P524"/>
      <c r="Q524"/>
      <c r="R524"/>
      <c r="S524"/>
      <c r="T524"/>
      <c r="U524"/>
      <c r="V524"/>
      <c r="W524"/>
      <c r="X524"/>
    </row>
    <row r="525" spans="1:24" ht="15" x14ac:dyDescent="0.25">
      <c r="A525"/>
      <c r="B525"/>
      <c r="C525"/>
      <c r="D525"/>
      <c r="E525"/>
      <c r="F525"/>
      <c r="G525"/>
      <c r="H525"/>
      <c r="I525"/>
      <c r="J525"/>
      <c r="K525"/>
      <c r="L525"/>
      <c r="M525"/>
      <c r="N525"/>
      <c r="O525"/>
      <c r="P525"/>
      <c r="Q525"/>
      <c r="R525"/>
      <c r="S525"/>
      <c r="T525"/>
      <c r="U525"/>
      <c r="V525"/>
      <c r="W525"/>
      <c r="X525"/>
    </row>
    <row r="526" spans="1:24" ht="15" x14ac:dyDescent="0.25">
      <c r="A526"/>
      <c r="B526"/>
      <c r="C526"/>
      <c r="D526"/>
      <c r="E526"/>
      <c r="F526"/>
      <c r="G526"/>
      <c r="H526"/>
      <c r="I526"/>
      <c r="J526"/>
      <c r="K526"/>
      <c r="L526"/>
      <c r="M526"/>
      <c r="N526"/>
      <c r="O526"/>
      <c r="P526"/>
      <c r="Q526"/>
      <c r="R526"/>
      <c r="S526"/>
      <c r="T526"/>
      <c r="U526"/>
      <c r="V526"/>
      <c r="W526"/>
      <c r="X526"/>
    </row>
    <row r="527" spans="1:24" ht="15" x14ac:dyDescent="0.25">
      <c r="A527"/>
      <c r="B527"/>
      <c r="C527"/>
      <c r="D527"/>
      <c r="E527"/>
      <c r="F527"/>
      <c r="G527"/>
      <c r="H527"/>
      <c r="I527"/>
      <c r="J527"/>
      <c r="K527"/>
      <c r="L527"/>
      <c r="M527"/>
      <c r="N527"/>
      <c r="O527"/>
      <c r="P527"/>
      <c r="Q527"/>
      <c r="R527"/>
      <c r="S527"/>
      <c r="T527"/>
      <c r="U527"/>
      <c r="V527"/>
      <c r="W527"/>
      <c r="X527"/>
    </row>
    <row r="528" spans="1:24" ht="15" x14ac:dyDescent="0.25">
      <c r="A528"/>
      <c r="B528"/>
      <c r="C528"/>
      <c r="D528"/>
      <c r="E528"/>
      <c r="F528"/>
      <c r="G528"/>
      <c r="H528"/>
      <c r="I528"/>
      <c r="J528"/>
      <c r="K528"/>
      <c r="L528"/>
      <c r="M528"/>
      <c r="N528"/>
      <c r="O528"/>
      <c r="P528"/>
      <c r="Q528"/>
      <c r="R528"/>
      <c r="S528"/>
      <c r="T528"/>
      <c r="U528"/>
      <c r="V528"/>
      <c r="W528"/>
      <c r="X528"/>
    </row>
    <row r="529" spans="1:24" ht="15" x14ac:dyDescent="0.25">
      <c r="A529"/>
      <c r="B529"/>
      <c r="C529"/>
      <c r="D529"/>
      <c r="E529"/>
      <c r="F529"/>
      <c r="G529"/>
      <c r="H529"/>
      <c r="I529"/>
      <c r="J529"/>
      <c r="K529"/>
      <c r="L529"/>
      <c r="M529"/>
      <c r="N529"/>
      <c r="O529"/>
      <c r="P529"/>
      <c r="Q529"/>
      <c r="R529"/>
      <c r="S529"/>
      <c r="T529"/>
      <c r="U529"/>
      <c r="V529"/>
      <c r="W529"/>
      <c r="X529"/>
    </row>
    <row r="530" spans="1:24" ht="15" x14ac:dyDescent="0.25">
      <c r="A530"/>
      <c r="B530"/>
      <c r="C530"/>
      <c r="D530"/>
      <c r="E530"/>
      <c r="F530"/>
      <c r="G530"/>
      <c r="H530"/>
      <c r="I530"/>
      <c r="J530"/>
      <c r="K530"/>
      <c r="L530"/>
      <c r="M530"/>
      <c r="N530"/>
      <c r="O530"/>
      <c r="P530"/>
      <c r="Q530"/>
      <c r="R530"/>
      <c r="S530"/>
      <c r="T530"/>
      <c r="U530"/>
      <c r="V530"/>
      <c r="W530"/>
      <c r="X530"/>
    </row>
    <row r="531" spans="1:24" ht="15" x14ac:dyDescent="0.25">
      <c r="A531"/>
      <c r="B531"/>
      <c r="C531"/>
      <c r="D531"/>
      <c r="E531"/>
      <c r="F531"/>
      <c r="G531"/>
      <c r="H531"/>
      <c r="I531"/>
      <c r="J531"/>
      <c r="K531"/>
      <c r="L531"/>
      <c r="M531"/>
      <c r="N531"/>
      <c r="O531"/>
      <c r="P531"/>
      <c r="Q531"/>
      <c r="R531"/>
      <c r="S531"/>
      <c r="T531"/>
      <c r="U531"/>
      <c r="V531"/>
      <c r="W531"/>
      <c r="X531"/>
    </row>
    <row r="532" spans="1:24" ht="15" x14ac:dyDescent="0.25">
      <c r="A532"/>
      <c r="B532"/>
      <c r="C532"/>
      <c r="D532"/>
      <c r="E532"/>
      <c r="F532"/>
      <c r="G532"/>
      <c r="H532"/>
      <c r="I532"/>
      <c r="J532"/>
      <c r="K532"/>
      <c r="L532"/>
      <c r="M532"/>
      <c r="N532"/>
      <c r="O532"/>
      <c r="P532"/>
      <c r="Q532"/>
      <c r="R532"/>
      <c r="S532"/>
      <c r="T532"/>
      <c r="U532"/>
      <c r="V532"/>
      <c r="W532"/>
      <c r="X532"/>
    </row>
    <row r="533" spans="1:24" ht="15" x14ac:dyDescent="0.25">
      <c r="A533"/>
      <c r="B533"/>
      <c r="C533"/>
      <c r="D533"/>
      <c r="E533"/>
      <c r="F533"/>
      <c r="G533"/>
      <c r="H533"/>
      <c r="I533"/>
      <c r="J533"/>
      <c r="K533"/>
      <c r="L533"/>
      <c r="M533"/>
      <c r="N533"/>
      <c r="O533"/>
      <c r="P533"/>
      <c r="Q533"/>
      <c r="R533"/>
      <c r="S533"/>
      <c r="T533"/>
      <c r="U533"/>
      <c r="V533"/>
      <c r="W533"/>
      <c r="X533"/>
    </row>
    <row r="534" spans="1:24" ht="15" x14ac:dyDescent="0.25">
      <c r="A534"/>
      <c r="B534"/>
      <c r="C534"/>
      <c r="D534"/>
      <c r="E534"/>
      <c r="F534"/>
      <c r="G534"/>
      <c r="H534"/>
      <c r="I534"/>
      <c r="J534"/>
      <c r="K534"/>
      <c r="L534"/>
      <c r="M534"/>
      <c r="N534"/>
      <c r="O534"/>
      <c r="P534"/>
      <c r="Q534"/>
      <c r="R534"/>
      <c r="S534"/>
      <c r="T534"/>
      <c r="U534"/>
      <c r="V534"/>
      <c r="W534"/>
      <c r="X534"/>
    </row>
    <row r="535" spans="1:24" ht="15" x14ac:dyDescent="0.25">
      <c r="A535"/>
      <c r="B535"/>
      <c r="C535"/>
      <c r="D535"/>
      <c r="E535"/>
      <c r="F535"/>
      <c r="G535"/>
      <c r="H535"/>
      <c r="I535"/>
      <c r="J535"/>
      <c r="K535"/>
      <c r="L535"/>
      <c r="M535"/>
      <c r="N535"/>
      <c r="O535"/>
      <c r="P535"/>
      <c r="Q535"/>
      <c r="R535"/>
      <c r="S535"/>
      <c r="T535"/>
      <c r="U535"/>
      <c r="V535"/>
      <c r="W535"/>
      <c r="X535"/>
    </row>
    <row r="536" spans="1:24" ht="15" x14ac:dyDescent="0.25">
      <c r="A536"/>
      <c r="B536"/>
      <c r="C536"/>
      <c r="D536"/>
      <c r="E536"/>
      <c r="F536"/>
      <c r="G536"/>
      <c r="H536"/>
      <c r="I536"/>
      <c r="J536"/>
      <c r="K536"/>
      <c r="L536"/>
      <c r="M536"/>
      <c r="N536"/>
      <c r="O536"/>
      <c r="P536"/>
      <c r="Q536"/>
      <c r="R536"/>
      <c r="S536"/>
      <c r="T536"/>
      <c r="U536"/>
      <c r="V536"/>
      <c r="W536"/>
      <c r="X536"/>
    </row>
    <row r="537" spans="1:24" ht="15" x14ac:dyDescent="0.25">
      <c r="A537"/>
      <c r="B537"/>
      <c r="C537"/>
      <c r="D537"/>
      <c r="E537"/>
      <c r="F537"/>
      <c r="G537"/>
      <c r="H537"/>
      <c r="I537"/>
      <c r="J537"/>
      <c r="K537"/>
      <c r="L537"/>
      <c r="M537"/>
      <c r="N537"/>
      <c r="O537"/>
      <c r="P537"/>
      <c r="Q537"/>
      <c r="R537"/>
      <c r="S537"/>
      <c r="T537"/>
      <c r="U537"/>
      <c r="V537"/>
      <c r="W537"/>
      <c r="X537"/>
    </row>
    <row r="538" spans="1:24" ht="15" x14ac:dyDescent="0.25">
      <c r="A538"/>
      <c r="B538"/>
      <c r="C538"/>
      <c r="D538"/>
      <c r="E538"/>
      <c r="F538"/>
      <c r="G538"/>
      <c r="H538"/>
      <c r="I538"/>
      <c r="J538"/>
      <c r="K538"/>
      <c r="L538"/>
      <c r="M538"/>
      <c r="N538"/>
      <c r="O538"/>
      <c r="P538"/>
      <c r="Q538"/>
      <c r="R538"/>
      <c r="S538"/>
      <c r="T538"/>
      <c r="U538"/>
      <c r="V538"/>
      <c r="W538"/>
      <c r="X538"/>
    </row>
    <row r="539" spans="1:24" ht="15" x14ac:dyDescent="0.25">
      <c r="A539"/>
      <c r="B539"/>
      <c r="C539"/>
      <c r="D539"/>
      <c r="E539"/>
      <c r="F539"/>
      <c r="G539"/>
      <c r="H539"/>
      <c r="I539"/>
      <c r="J539"/>
      <c r="K539"/>
      <c r="L539"/>
      <c r="M539"/>
      <c r="N539"/>
      <c r="O539"/>
      <c r="P539"/>
      <c r="Q539"/>
      <c r="R539"/>
      <c r="S539"/>
      <c r="T539"/>
      <c r="U539"/>
      <c r="V539"/>
      <c r="W539"/>
      <c r="X539"/>
    </row>
    <row r="540" spans="1:24" ht="15" x14ac:dyDescent="0.25">
      <c r="A540"/>
      <c r="B540"/>
      <c r="C540"/>
      <c r="D540"/>
      <c r="E540"/>
      <c r="F540"/>
      <c r="G540"/>
      <c r="H540"/>
      <c r="I540"/>
      <c r="J540"/>
      <c r="K540"/>
      <c r="L540"/>
      <c r="M540"/>
      <c r="N540"/>
      <c r="O540"/>
      <c r="P540"/>
      <c r="Q540"/>
      <c r="R540"/>
      <c r="S540"/>
      <c r="T540"/>
      <c r="U540"/>
      <c r="V540"/>
      <c r="W540"/>
      <c r="X540"/>
    </row>
    <row r="541" spans="1:24" ht="15" x14ac:dyDescent="0.25">
      <c r="A541"/>
      <c r="B541"/>
      <c r="C541"/>
      <c r="D541"/>
      <c r="E541"/>
      <c r="F541"/>
      <c r="G541"/>
      <c r="H541"/>
      <c r="I541"/>
      <c r="J541"/>
      <c r="K541"/>
      <c r="L541"/>
      <c r="M541"/>
      <c r="N541"/>
      <c r="O541"/>
      <c r="P541"/>
      <c r="Q541"/>
      <c r="R541"/>
      <c r="S541"/>
      <c r="T541"/>
      <c r="U541"/>
      <c r="V541"/>
      <c r="W541"/>
      <c r="X541"/>
    </row>
    <row r="542" spans="1:24" ht="15" x14ac:dyDescent="0.25">
      <c r="A542"/>
      <c r="B542"/>
      <c r="C542"/>
      <c r="D542"/>
      <c r="E542"/>
      <c r="F542"/>
      <c r="G542"/>
      <c r="H542"/>
      <c r="I542"/>
      <c r="J542"/>
      <c r="K542"/>
      <c r="L542"/>
      <c r="M542"/>
      <c r="N542"/>
      <c r="O542"/>
      <c r="P542"/>
      <c r="Q542"/>
      <c r="R542"/>
      <c r="S542"/>
      <c r="T542"/>
      <c r="U542"/>
      <c r="V542"/>
      <c r="W542"/>
      <c r="X542"/>
    </row>
    <row r="543" spans="1:24" ht="15" x14ac:dyDescent="0.25">
      <c r="A543"/>
      <c r="B543"/>
      <c r="C543"/>
      <c r="D543"/>
      <c r="E543"/>
      <c r="F543"/>
      <c r="G543"/>
      <c r="H543"/>
      <c r="I543"/>
      <c r="J543"/>
      <c r="K543"/>
      <c r="L543"/>
      <c r="M543"/>
      <c r="N543"/>
      <c r="O543"/>
      <c r="P543"/>
      <c r="Q543"/>
      <c r="R543"/>
      <c r="S543"/>
      <c r="T543"/>
      <c r="U543"/>
      <c r="V543"/>
      <c r="W543"/>
      <c r="X543"/>
    </row>
    <row r="544" spans="1:24" ht="15" x14ac:dyDescent="0.25">
      <c r="A544"/>
      <c r="B544"/>
      <c r="C544"/>
      <c r="D544"/>
      <c r="E544"/>
      <c r="F544"/>
      <c r="G544"/>
      <c r="H544"/>
      <c r="I544"/>
      <c r="J544"/>
      <c r="K544"/>
      <c r="L544"/>
      <c r="M544"/>
      <c r="N544"/>
      <c r="O544"/>
      <c r="P544"/>
      <c r="Q544"/>
      <c r="R544"/>
      <c r="S544"/>
      <c r="T544"/>
      <c r="U544"/>
      <c r="V544"/>
      <c r="W544"/>
      <c r="X544"/>
    </row>
    <row r="545" spans="1:24" ht="15" x14ac:dyDescent="0.25">
      <c r="A545"/>
      <c r="B545"/>
      <c r="C545"/>
      <c r="D545"/>
      <c r="E545"/>
      <c r="F545"/>
      <c r="G545"/>
      <c r="H545"/>
      <c r="I545"/>
      <c r="J545"/>
      <c r="K545"/>
      <c r="L545"/>
      <c r="M545"/>
      <c r="N545"/>
      <c r="O545"/>
      <c r="P545"/>
      <c r="Q545"/>
      <c r="R545"/>
      <c r="S545"/>
      <c r="T545"/>
      <c r="U545"/>
      <c r="V545"/>
      <c r="W545"/>
      <c r="X545"/>
    </row>
    <row r="546" spans="1:24" ht="15" x14ac:dyDescent="0.25">
      <c r="A546"/>
      <c r="B546"/>
      <c r="C546"/>
      <c r="D546"/>
      <c r="E546"/>
      <c r="F546"/>
      <c r="G546"/>
      <c r="H546"/>
      <c r="I546"/>
      <c r="J546"/>
      <c r="K546"/>
      <c r="L546"/>
      <c r="M546"/>
      <c r="N546"/>
      <c r="O546"/>
      <c r="P546"/>
      <c r="Q546"/>
      <c r="R546"/>
      <c r="S546"/>
      <c r="T546"/>
      <c r="U546"/>
      <c r="V546"/>
      <c r="W546"/>
      <c r="X546"/>
    </row>
    <row r="547" spans="1:24" ht="15" x14ac:dyDescent="0.25">
      <c r="A547"/>
      <c r="B547"/>
      <c r="C547"/>
      <c r="D547"/>
      <c r="E547"/>
      <c r="F547"/>
      <c r="G547"/>
      <c r="H547"/>
      <c r="I547"/>
      <c r="J547"/>
      <c r="K547"/>
      <c r="L547"/>
      <c r="M547"/>
      <c r="N547"/>
      <c r="O547"/>
      <c r="P547"/>
      <c r="Q547"/>
      <c r="R547"/>
      <c r="S547"/>
      <c r="T547"/>
      <c r="U547"/>
      <c r="V547"/>
      <c r="W547"/>
      <c r="X547"/>
    </row>
    <row r="548" spans="1:24" ht="15" x14ac:dyDescent="0.25">
      <c r="A548"/>
      <c r="B548"/>
      <c r="C548"/>
      <c r="D548"/>
      <c r="E548"/>
      <c r="F548"/>
      <c r="G548"/>
      <c r="H548"/>
      <c r="I548"/>
      <c r="J548"/>
      <c r="K548"/>
      <c r="L548"/>
      <c r="M548"/>
      <c r="N548"/>
      <c r="O548"/>
      <c r="P548"/>
      <c r="Q548"/>
      <c r="R548"/>
      <c r="S548"/>
      <c r="T548"/>
      <c r="U548"/>
      <c r="V548"/>
      <c r="W548"/>
      <c r="X548"/>
    </row>
    <row r="549" spans="1:24" ht="15" x14ac:dyDescent="0.25">
      <c r="A549"/>
      <c r="B549"/>
      <c r="C549"/>
      <c r="D549"/>
      <c r="E549"/>
      <c r="F549"/>
      <c r="G549"/>
      <c r="H549"/>
      <c r="I549"/>
      <c r="J549"/>
      <c r="K549"/>
      <c r="L549"/>
      <c r="M549"/>
      <c r="N549"/>
      <c r="O549"/>
      <c r="P549"/>
      <c r="Q549"/>
      <c r="R549"/>
      <c r="S549"/>
      <c r="T549"/>
      <c r="U549"/>
      <c r="V549"/>
      <c r="W549"/>
      <c r="X549"/>
    </row>
    <row r="550" spans="1:24" ht="15" x14ac:dyDescent="0.25">
      <c r="A550"/>
      <c r="B550"/>
      <c r="C550"/>
      <c r="D550"/>
      <c r="E550"/>
      <c r="F550"/>
      <c r="G550"/>
      <c r="H550"/>
      <c r="I550"/>
      <c r="J550"/>
      <c r="K550"/>
      <c r="L550"/>
      <c r="M550"/>
      <c r="N550"/>
      <c r="O550"/>
      <c r="P550"/>
      <c r="Q550"/>
      <c r="R550"/>
      <c r="S550"/>
      <c r="T550"/>
      <c r="U550"/>
      <c r="V550"/>
      <c r="W550"/>
      <c r="X550"/>
    </row>
    <row r="551" spans="1:24" ht="15" x14ac:dyDescent="0.25">
      <c r="A551"/>
      <c r="B551"/>
      <c r="C551"/>
      <c r="D551"/>
      <c r="E551"/>
      <c r="F551"/>
      <c r="G551"/>
      <c r="H551"/>
      <c r="I551"/>
      <c r="J551"/>
      <c r="K551"/>
      <c r="L551"/>
      <c r="M551"/>
      <c r="N551"/>
      <c r="O551"/>
      <c r="P551"/>
      <c r="Q551"/>
      <c r="R551"/>
      <c r="S551"/>
      <c r="T551"/>
      <c r="U551"/>
      <c r="V551"/>
      <c r="W551"/>
      <c r="X551"/>
    </row>
    <row r="552" spans="1:24" ht="15" x14ac:dyDescent="0.25">
      <c r="A552"/>
      <c r="B552"/>
      <c r="C552"/>
      <c r="D552"/>
      <c r="E552"/>
      <c r="F552"/>
      <c r="G552"/>
      <c r="H552"/>
      <c r="I552"/>
      <c r="J552"/>
      <c r="K552"/>
      <c r="L552"/>
      <c r="M552"/>
      <c r="N552"/>
      <c r="O552"/>
      <c r="P552"/>
      <c r="Q552"/>
      <c r="R552"/>
      <c r="S552"/>
      <c r="T552"/>
      <c r="U552"/>
      <c r="V552"/>
      <c r="W552"/>
      <c r="X552"/>
    </row>
    <row r="553" spans="1:24" ht="15" x14ac:dyDescent="0.25">
      <c r="A553"/>
      <c r="B553"/>
      <c r="C553"/>
      <c r="D553"/>
      <c r="E553"/>
      <c r="F553"/>
      <c r="G553"/>
      <c r="H553"/>
      <c r="I553"/>
      <c r="J553"/>
      <c r="K553"/>
      <c r="L553"/>
      <c r="M553"/>
      <c r="N553"/>
      <c r="O553"/>
      <c r="P553"/>
      <c r="Q553"/>
      <c r="R553"/>
      <c r="S553"/>
      <c r="T553"/>
      <c r="U553"/>
      <c r="V553"/>
      <c r="W553"/>
      <c r="X553"/>
    </row>
    <row r="554" spans="1:24" ht="15" x14ac:dyDescent="0.25">
      <c r="A554"/>
      <c r="B554"/>
      <c r="C554"/>
      <c r="D554"/>
      <c r="E554"/>
      <c r="F554"/>
      <c r="G554"/>
      <c r="H554"/>
      <c r="I554"/>
      <c r="J554"/>
      <c r="K554"/>
      <c r="L554"/>
      <c r="M554"/>
      <c r="N554"/>
      <c r="O554"/>
      <c r="P554"/>
      <c r="Q554"/>
      <c r="R554"/>
      <c r="S554"/>
      <c r="T554"/>
      <c r="U554"/>
      <c r="V554"/>
      <c r="W554"/>
      <c r="X554"/>
    </row>
    <row r="555" spans="1:24" ht="15" x14ac:dyDescent="0.25">
      <c r="A555"/>
      <c r="B555"/>
      <c r="C555"/>
      <c r="D555"/>
      <c r="E555"/>
      <c r="F555"/>
      <c r="G555"/>
      <c r="H555"/>
      <c r="I555"/>
      <c r="J555"/>
      <c r="K555"/>
      <c r="L555"/>
      <c r="M555"/>
      <c r="N555"/>
      <c r="O555"/>
      <c r="P555"/>
      <c r="Q555"/>
      <c r="R555"/>
      <c r="S555"/>
      <c r="T555"/>
      <c r="U555"/>
      <c r="V555"/>
      <c r="W555"/>
      <c r="X555"/>
    </row>
    <row r="556" spans="1:24" ht="15" x14ac:dyDescent="0.25">
      <c r="A556"/>
      <c r="B556"/>
      <c r="C556"/>
      <c r="D556"/>
      <c r="E556"/>
      <c r="F556"/>
      <c r="G556"/>
      <c r="H556"/>
      <c r="I556"/>
      <c r="J556"/>
      <c r="K556"/>
      <c r="L556"/>
      <c r="M556"/>
      <c r="N556"/>
      <c r="O556"/>
      <c r="P556"/>
      <c r="Q556"/>
      <c r="R556"/>
      <c r="S556"/>
      <c r="T556"/>
      <c r="U556"/>
      <c r="V556"/>
      <c r="W556"/>
      <c r="X556"/>
    </row>
    <row r="557" spans="1:24" ht="15" x14ac:dyDescent="0.25">
      <c r="A557"/>
      <c r="B557"/>
      <c r="C557"/>
      <c r="D557"/>
      <c r="E557"/>
      <c r="F557"/>
      <c r="G557"/>
      <c r="H557"/>
      <c r="I557"/>
      <c r="J557"/>
      <c r="K557"/>
      <c r="L557"/>
      <c r="M557"/>
      <c r="N557"/>
      <c r="O557"/>
      <c r="P557"/>
      <c r="Q557"/>
      <c r="R557"/>
      <c r="S557"/>
      <c r="T557"/>
      <c r="U557"/>
      <c r="V557"/>
      <c r="W557"/>
      <c r="X557"/>
    </row>
    <row r="558" spans="1:24" ht="15" x14ac:dyDescent="0.25">
      <c r="A558"/>
      <c r="B558"/>
      <c r="C558"/>
      <c r="D558"/>
      <c r="E558"/>
      <c r="F558"/>
      <c r="G558"/>
      <c r="H558"/>
      <c r="I558"/>
      <c r="J558"/>
      <c r="K558"/>
      <c r="L558"/>
      <c r="M558"/>
      <c r="N558"/>
      <c r="O558"/>
      <c r="P558"/>
      <c r="Q558"/>
      <c r="R558"/>
      <c r="S558"/>
      <c r="T558"/>
      <c r="U558"/>
      <c r="V558"/>
      <c r="W558"/>
      <c r="X558"/>
    </row>
    <row r="559" spans="1:24" ht="15" x14ac:dyDescent="0.25">
      <c r="A559"/>
      <c r="B559"/>
      <c r="C559"/>
      <c r="D559"/>
      <c r="E559"/>
      <c r="F559"/>
      <c r="G559"/>
      <c r="H559"/>
      <c r="I559"/>
      <c r="J559"/>
      <c r="K559"/>
      <c r="L559"/>
      <c r="M559"/>
      <c r="N559"/>
      <c r="O559"/>
      <c r="P559"/>
      <c r="Q559"/>
      <c r="R559"/>
      <c r="S559"/>
      <c r="T559"/>
      <c r="U559"/>
      <c r="V559"/>
      <c r="W559"/>
      <c r="X559"/>
    </row>
    <row r="560" spans="1:24" ht="15" x14ac:dyDescent="0.25">
      <c r="A560"/>
      <c r="B560"/>
      <c r="C560"/>
      <c r="D560"/>
      <c r="E560"/>
      <c r="F560"/>
      <c r="G560"/>
      <c r="H560"/>
      <c r="I560"/>
      <c r="J560"/>
      <c r="K560"/>
      <c r="L560"/>
      <c r="M560"/>
      <c r="N560"/>
      <c r="O560"/>
      <c r="P560"/>
      <c r="Q560"/>
      <c r="R560"/>
      <c r="S560"/>
      <c r="T560"/>
      <c r="U560"/>
      <c r="V560"/>
      <c r="W560"/>
      <c r="X560"/>
    </row>
    <row r="561" spans="1:24" ht="15" x14ac:dyDescent="0.25">
      <c r="A561"/>
      <c r="B561"/>
      <c r="C561"/>
      <c r="D561"/>
      <c r="E561"/>
      <c r="F561"/>
      <c r="G561"/>
      <c r="H561"/>
      <c r="I561"/>
      <c r="J561"/>
      <c r="K561"/>
      <c r="L561"/>
      <c r="M561"/>
      <c r="N561"/>
      <c r="O561"/>
      <c r="P561"/>
      <c r="Q561"/>
      <c r="R561"/>
      <c r="S561"/>
      <c r="T561"/>
      <c r="U561"/>
      <c r="V561"/>
      <c r="W561"/>
      <c r="X561"/>
    </row>
    <row r="562" spans="1:24" ht="15" x14ac:dyDescent="0.25">
      <c r="A562"/>
      <c r="B562"/>
      <c r="C562"/>
      <c r="D562"/>
      <c r="E562"/>
      <c r="F562"/>
      <c r="G562"/>
      <c r="H562"/>
      <c r="I562"/>
      <c r="J562"/>
      <c r="K562"/>
      <c r="L562"/>
      <c r="M562"/>
      <c r="N562"/>
      <c r="O562"/>
      <c r="P562"/>
      <c r="Q562"/>
      <c r="R562"/>
      <c r="S562"/>
      <c r="T562"/>
      <c r="U562"/>
      <c r="V562"/>
      <c r="W562"/>
      <c r="X562"/>
    </row>
    <row r="563" spans="1:24" ht="15" x14ac:dyDescent="0.25">
      <c r="A563"/>
      <c r="B563"/>
      <c r="C563"/>
      <c r="D563"/>
      <c r="E563"/>
      <c r="F563"/>
      <c r="G563"/>
      <c r="H563"/>
      <c r="I563"/>
      <c r="J563"/>
      <c r="K563"/>
      <c r="L563"/>
      <c r="M563"/>
      <c r="N563"/>
      <c r="O563"/>
      <c r="P563"/>
      <c r="Q563"/>
      <c r="R563"/>
      <c r="S563"/>
      <c r="T563"/>
      <c r="U563"/>
      <c r="V563"/>
      <c r="W563"/>
      <c r="X563"/>
    </row>
    <row r="564" spans="1:24" ht="15" x14ac:dyDescent="0.25">
      <c r="A564"/>
      <c r="B564"/>
      <c r="C564"/>
      <c r="D564"/>
      <c r="E564"/>
      <c r="F564"/>
      <c r="G564"/>
      <c r="H564"/>
      <c r="I564"/>
      <c r="J564"/>
      <c r="K564"/>
      <c r="L564"/>
      <c r="M564"/>
      <c r="N564"/>
      <c r="O564"/>
      <c r="P564"/>
      <c r="Q564"/>
      <c r="R564"/>
      <c r="S564"/>
      <c r="T564"/>
      <c r="U564"/>
      <c r="V564"/>
      <c r="W564"/>
      <c r="X564"/>
    </row>
    <row r="565" spans="1:24" ht="15" x14ac:dyDescent="0.25">
      <c r="A565"/>
      <c r="B565"/>
      <c r="C565"/>
      <c r="D565"/>
      <c r="E565"/>
      <c r="F565"/>
      <c r="G565"/>
      <c r="H565"/>
      <c r="I565"/>
      <c r="J565"/>
      <c r="K565"/>
      <c r="L565"/>
      <c r="M565"/>
      <c r="N565"/>
      <c r="O565"/>
      <c r="P565"/>
      <c r="Q565"/>
      <c r="R565"/>
      <c r="S565"/>
      <c r="T565"/>
      <c r="U565"/>
      <c r="V565"/>
      <c r="W565"/>
      <c r="X565"/>
    </row>
    <row r="566" spans="1:24" ht="15" x14ac:dyDescent="0.25">
      <c r="A566"/>
      <c r="B566"/>
      <c r="C566"/>
      <c r="D566"/>
      <c r="E566"/>
      <c r="F566"/>
      <c r="G566"/>
      <c r="H566"/>
      <c r="I566"/>
      <c r="J566"/>
      <c r="K566"/>
      <c r="L566"/>
      <c r="M566"/>
      <c r="N566"/>
      <c r="O566"/>
      <c r="P566"/>
      <c r="Q566"/>
      <c r="R566"/>
      <c r="S566"/>
      <c r="T566"/>
      <c r="U566"/>
      <c r="V566"/>
      <c r="W566"/>
      <c r="X566"/>
    </row>
    <row r="567" spans="1:24" ht="15" x14ac:dyDescent="0.25">
      <c r="A567"/>
      <c r="B567"/>
      <c r="C567"/>
      <c r="D567"/>
      <c r="E567"/>
      <c r="F567"/>
      <c r="G567"/>
      <c r="H567"/>
      <c r="I567"/>
      <c r="J567"/>
      <c r="K567"/>
      <c r="L567"/>
      <c r="M567"/>
      <c r="N567"/>
      <c r="O567"/>
      <c r="P567"/>
      <c r="Q567"/>
      <c r="R567"/>
      <c r="S567"/>
      <c r="T567"/>
      <c r="U567"/>
      <c r="V567"/>
      <c r="W567"/>
      <c r="X567"/>
    </row>
    <row r="568" spans="1:24" ht="15" x14ac:dyDescent="0.25">
      <c r="A568"/>
      <c r="B568"/>
      <c r="C568"/>
      <c r="D568"/>
      <c r="E568"/>
      <c r="F568"/>
      <c r="G568"/>
      <c r="H568"/>
      <c r="I568"/>
      <c r="J568"/>
      <c r="K568"/>
      <c r="L568"/>
      <c r="M568"/>
      <c r="N568"/>
      <c r="O568"/>
      <c r="P568"/>
      <c r="Q568"/>
      <c r="R568"/>
      <c r="S568"/>
      <c r="T568"/>
      <c r="U568"/>
      <c r="V568"/>
      <c r="W568"/>
      <c r="X568"/>
    </row>
    <row r="569" spans="1:24" ht="15" x14ac:dyDescent="0.25">
      <c r="A569"/>
      <c r="B569"/>
      <c r="C569"/>
      <c r="D569"/>
      <c r="E569"/>
      <c r="F569"/>
      <c r="G569"/>
      <c r="H569"/>
      <c r="I569"/>
      <c r="J569"/>
      <c r="K569"/>
      <c r="L569"/>
      <c r="M569"/>
      <c r="N569"/>
      <c r="O569"/>
      <c r="P569"/>
      <c r="Q569"/>
      <c r="R569"/>
      <c r="S569"/>
      <c r="T569"/>
      <c r="U569"/>
      <c r="V569"/>
      <c r="W569"/>
      <c r="X569"/>
    </row>
    <row r="570" spans="1:24" ht="15" x14ac:dyDescent="0.25">
      <c r="A570"/>
      <c r="B570"/>
      <c r="C570"/>
      <c r="D570"/>
      <c r="E570"/>
      <c r="F570"/>
      <c r="G570"/>
      <c r="H570"/>
      <c r="I570"/>
      <c r="J570"/>
      <c r="K570"/>
      <c r="L570"/>
      <c r="M570"/>
      <c r="N570"/>
      <c r="O570"/>
      <c r="P570"/>
      <c r="Q570"/>
      <c r="R570"/>
      <c r="S570"/>
      <c r="T570"/>
      <c r="U570"/>
      <c r="V570"/>
      <c r="W570"/>
      <c r="X570"/>
    </row>
    <row r="571" spans="1:24" ht="15" x14ac:dyDescent="0.25">
      <c r="A571"/>
      <c r="B571"/>
      <c r="C571"/>
      <c r="D571"/>
      <c r="E571"/>
      <c r="F571"/>
      <c r="G571"/>
      <c r="H571"/>
      <c r="I571"/>
      <c r="J571"/>
      <c r="K571"/>
      <c r="L571"/>
      <c r="M571"/>
      <c r="N571"/>
      <c r="O571"/>
      <c r="P571"/>
      <c r="Q571"/>
      <c r="R571"/>
      <c r="S571"/>
      <c r="T571"/>
      <c r="U571"/>
      <c r="V571"/>
      <c r="W571"/>
      <c r="X571"/>
    </row>
    <row r="572" spans="1:24" ht="15" x14ac:dyDescent="0.25">
      <c r="A572"/>
      <c r="B572"/>
      <c r="C572"/>
      <c r="D572"/>
      <c r="E572"/>
      <c r="F572"/>
      <c r="G572"/>
      <c r="H572"/>
      <c r="I572"/>
      <c r="J572"/>
      <c r="K572"/>
      <c r="L572"/>
      <c r="M572"/>
      <c r="N572"/>
      <c r="O572"/>
      <c r="P572"/>
      <c r="Q572"/>
      <c r="R572"/>
      <c r="S572"/>
      <c r="T572"/>
      <c r="U572"/>
      <c r="V572"/>
      <c r="W572"/>
      <c r="X572"/>
    </row>
    <row r="573" spans="1:24" ht="15" x14ac:dyDescent="0.25">
      <c r="A573"/>
      <c r="B573"/>
      <c r="C573"/>
      <c r="D573"/>
      <c r="E573"/>
      <c r="F573"/>
      <c r="G573"/>
      <c r="H573"/>
      <c r="I573"/>
      <c r="J573"/>
      <c r="K573"/>
      <c r="L573"/>
      <c r="M573"/>
      <c r="N573"/>
      <c r="O573"/>
      <c r="P573"/>
      <c r="Q573"/>
      <c r="R573"/>
      <c r="S573"/>
      <c r="T573"/>
      <c r="U573"/>
      <c r="V573"/>
      <c r="W573"/>
      <c r="X573"/>
    </row>
    <row r="574" spans="1:24" ht="15" x14ac:dyDescent="0.25">
      <c r="A574"/>
      <c r="B574"/>
      <c r="C574"/>
      <c r="D574"/>
      <c r="E574"/>
      <c r="F574"/>
      <c r="G574"/>
      <c r="H574"/>
      <c r="I574"/>
      <c r="J574"/>
      <c r="K574"/>
      <c r="L574"/>
      <c r="M574"/>
      <c r="N574"/>
      <c r="O574"/>
      <c r="P574"/>
      <c r="Q574"/>
      <c r="R574"/>
      <c r="S574"/>
      <c r="T574"/>
      <c r="U574"/>
      <c r="V574"/>
      <c r="W574"/>
      <c r="X574"/>
    </row>
    <row r="575" spans="1:24" ht="15" x14ac:dyDescent="0.25">
      <c r="A575"/>
      <c r="B575"/>
      <c r="C575"/>
      <c r="D575"/>
      <c r="E575"/>
      <c r="F575"/>
      <c r="G575"/>
      <c r="H575"/>
      <c r="I575"/>
      <c r="J575"/>
      <c r="K575"/>
      <c r="L575"/>
      <c r="M575"/>
      <c r="N575"/>
      <c r="O575"/>
      <c r="P575"/>
      <c r="Q575"/>
      <c r="R575"/>
      <c r="S575"/>
      <c r="T575"/>
      <c r="U575"/>
      <c r="V575"/>
      <c r="W575"/>
      <c r="X575"/>
    </row>
    <row r="576" spans="1:24" ht="15" x14ac:dyDescent="0.25">
      <c r="A576"/>
      <c r="B576"/>
      <c r="C576"/>
      <c r="D576"/>
      <c r="E576"/>
      <c r="F576"/>
      <c r="G576"/>
      <c r="H576"/>
      <c r="I576"/>
      <c r="J576"/>
      <c r="K576"/>
      <c r="L576"/>
      <c r="M576"/>
      <c r="N576"/>
      <c r="O576"/>
      <c r="P576"/>
      <c r="Q576"/>
      <c r="R576"/>
      <c r="S576"/>
      <c r="T576"/>
      <c r="U576"/>
      <c r="V576"/>
      <c r="W576"/>
      <c r="X576"/>
    </row>
    <row r="577" spans="1:24" ht="15" x14ac:dyDescent="0.25">
      <c r="A577"/>
      <c r="B577"/>
      <c r="C577"/>
      <c r="D577"/>
      <c r="E577"/>
      <c r="F577"/>
      <c r="G577"/>
      <c r="H577"/>
      <c r="I577"/>
      <c r="J577"/>
      <c r="K577"/>
      <c r="L577"/>
      <c r="M577"/>
      <c r="N577"/>
      <c r="O577"/>
      <c r="P577"/>
      <c r="Q577"/>
      <c r="R577"/>
      <c r="S577"/>
      <c r="T577"/>
      <c r="U577"/>
      <c r="V577"/>
      <c r="W577"/>
      <c r="X577"/>
    </row>
    <row r="578" spans="1:24" ht="15" x14ac:dyDescent="0.25">
      <c r="A578"/>
      <c r="B578"/>
      <c r="C578"/>
      <c r="D578"/>
      <c r="E578"/>
      <c r="F578"/>
      <c r="G578"/>
      <c r="H578"/>
      <c r="I578"/>
      <c r="J578"/>
      <c r="K578"/>
      <c r="L578"/>
      <c r="M578"/>
      <c r="N578"/>
      <c r="O578"/>
      <c r="P578"/>
      <c r="Q578"/>
      <c r="R578"/>
      <c r="S578"/>
      <c r="T578"/>
      <c r="U578"/>
      <c r="V578"/>
      <c r="W578"/>
      <c r="X578"/>
    </row>
    <row r="579" spans="1:24" ht="15" x14ac:dyDescent="0.25">
      <c r="A579"/>
      <c r="B579"/>
      <c r="C579"/>
      <c r="D579"/>
      <c r="E579"/>
      <c r="F579"/>
      <c r="G579"/>
      <c r="H579"/>
      <c r="I579"/>
      <c r="J579"/>
      <c r="K579"/>
      <c r="L579"/>
      <c r="M579"/>
      <c r="N579"/>
      <c r="O579"/>
      <c r="P579"/>
      <c r="Q579"/>
      <c r="R579"/>
      <c r="S579"/>
      <c r="T579"/>
      <c r="U579"/>
      <c r="V579"/>
      <c r="W579"/>
      <c r="X579"/>
    </row>
    <row r="580" spans="1:24" ht="15" x14ac:dyDescent="0.25">
      <c r="A580"/>
      <c r="B580"/>
      <c r="C580"/>
      <c r="D580"/>
      <c r="E580"/>
      <c r="F580"/>
      <c r="G580"/>
      <c r="H580"/>
      <c r="I580"/>
      <c r="J580"/>
      <c r="K580"/>
      <c r="L580"/>
      <c r="M580"/>
      <c r="N580"/>
      <c r="O580"/>
      <c r="P580"/>
      <c r="Q580"/>
      <c r="R580"/>
      <c r="S580"/>
      <c r="T580"/>
      <c r="U580"/>
      <c r="V580"/>
      <c r="W580"/>
      <c r="X580"/>
    </row>
    <row r="581" spans="1:24" ht="15" x14ac:dyDescent="0.25">
      <c r="A581"/>
      <c r="B581"/>
      <c r="C581"/>
      <c r="D581"/>
      <c r="E581"/>
      <c r="F581"/>
      <c r="G581"/>
      <c r="H581"/>
      <c r="I581"/>
      <c r="J581"/>
      <c r="K581"/>
      <c r="L581"/>
      <c r="M581"/>
      <c r="N581"/>
      <c r="O581"/>
      <c r="P581"/>
      <c r="Q581"/>
      <c r="R581"/>
      <c r="S581"/>
      <c r="T581"/>
      <c r="U581"/>
      <c r="V581"/>
      <c r="W581"/>
      <c r="X581"/>
    </row>
    <row r="582" spans="1:24" ht="15" x14ac:dyDescent="0.25">
      <c r="A582"/>
      <c r="B582"/>
      <c r="C582"/>
      <c r="D582"/>
      <c r="E582"/>
      <c r="F582"/>
      <c r="G582"/>
      <c r="H582"/>
      <c r="I582"/>
      <c r="J582"/>
      <c r="K582"/>
      <c r="L582"/>
      <c r="M582"/>
      <c r="N582"/>
      <c r="O582"/>
      <c r="P582"/>
      <c r="Q582"/>
      <c r="R582"/>
      <c r="S582"/>
      <c r="T582"/>
      <c r="U582"/>
      <c r="V582"/>
      <c r="W582"/>
      <c r="X582"/>
    </row>
    <row r="583" spans="1:24" ht="15" x14ac:dyDescent="0.25">
      <c r="A583"/>
      <c r="B583"/>
      <c r="C583"/>
      <c r="D583"/>
      <c r="E583"/>
      <c r="F583"/>
      <c r="G583"/>
      <c r="H583"/>
      <c r="I583"/>
      <c r="J583"/>
      <c r="K583"/>
      <c r="L583"/>
      <c r="M583"/>
      <c r="N583"/>
      <c r="O583"/>
      <c r="P583"/>
      <c r="Q583"/>
      <c r="R583"/>
      <c r="S583"/>
      <c r="T583"/>
      <c r="U583"/>
      <c r="V583"/>
      <c r="W583"/>
      <c r="X583"/>
    </row>
    <row r="584" spans="1:24" ht="15" x14ac:dyDescent="0.25">
      <c r="A584"/>
      <c r="B584"/>
      <c r="C584"/>
      <c r="D584"/>
      <c r="E584"/>
      <c r="F584"/>
      <c r="G584"/>
      <c r="H584"/>
      <c r="I584"/>
      <c r="J584"/>
      <c r="K584"/>
      <c r="L584"/>
      <c r="M584"/>
      <c r="N584"/>
      <c r="O584"/>
      <c r="P584"/>
      <c r="Q584"/>
      <c r="R584"/>
      <c r="S584"/>
      <c r="T584"/>
      <c r="U584"/>
      <c r="V584"/>
      <c r="W584"/>
      <c r="X584"/>
    </row>
    <row r="585" spans="1:24" ht="15" x14ac:dyDescent="0.25">
      <c r="A585"/>
      <c r="B585"/>
      <c r="C585"/>
      <c r="D585"/>
      <c r="E585"/>
      <c r="F585"/>
      <c r="G585"/>
      <c r="H585"/>
      <c r="I585"/>
      <c r="J585"/>
      <c r="K585"/>
      <c r="L585"/>
      <c r="M585"/>
      <c r="N585"/>
      <c r="O585"/>
      <c r="P585"/>
      <c r="Q585"/>
      <c r="R585"/>
      <c r="S585"/>
      <c r="T585"/>
      <c r="U585"/>
      <c r="V585"/>
      <c r="W585"/>
      <c r="X585"/>
    </row>
    <row r="586" spans="1:24" ht="15" x14ac:dyDescent="0.25">
      <c r="A586"/>
      <c r="B586"/>
      <c r="C586"/>
      <c r="D586"/>
      <c r="E586"/>
      <c r="F586"/>
      <c r="G586"/>
      <c r="H586"/>
      <c r="I586"/>
      <c r="J586"/>
      <c r="K586"/>
      <c r="L586"/>
      <c r="M586"/>
      <c r="N586"/>
      <c r="O586"/>
      <c r="P586"/>
      <c r="Q586"/>
      <c r="R586"/>
      <c r="S586"/>
      <c r="T586"/>
      <c r="U586"/>
      <c r="V586"/>
      <c r="W586"/>
      <c r="X586"/>
    </row>
    <row r="587" spans="1:24" ht="15" x14ac:dyDescent="0.25">
      <c r="A587"/>
      <c r="B587"/>
      <c r="C587"/>
      <c r="D587"/>
      <c r="E587"/>
      <c r="F587"/>
      <c r="G587"/>
      <c r="H587"/>
      <c r="I587"/>
      <c r="J587"/>
      <c r="K587"/>
      <c r="L587"/>
      <c r="M587"/>
      <c r="N587"/>
      <c r="O587"/>
      <c r="P587"/>
      <c r="Q587"/>
      <c r="R587"/>
      <c r="S587"/>
      <c r="T587"/>
      <c r="U587"/>
      <c r="V587"/>
      <c r="W587"/>
      <c r="X587"/>
    </row>
    <row r="588" spans="1:24" ht="15" x14ac:dyDescent="0.25">
      <c r="A588"/>
      <c r="B588"/>
      <c r="C588"/>
      <c r="D588"/>
      <c r="E588"/>
      <c r="F588"/>
      <c r="G588"/>
      <c r="H588"/>
      <c r="I588"/>
      <c r="J588"/>
      <c r="K588"/>
      <c r="L588"/>
      <c r="M588"/>
      <c r="N588"/>
      <c r="O588"/>
      <c r="P588"/>
      <c r="Q588"/>
      <c r="R588"/>
      <c r="S588"/>
      <c r="T588"/>
      <c r="U588"/>
      <c r="V588"/>
      <c r="W588"/>
      <c r="X588"/>
    </row>
    <row r="589" spans="1:24" ht="15" x14ac:dyDescent="0.25">
      <c r="A589"/>
      <c r="B589"/>
      <c r="C589"/>
      <c r="D589"/>
      <c r="E589"/>
      <c r="F589"/>
      <c r="G589"/>
      <c r="H589"/>
      <c r="I589"/>
      <c r="J589"/>
      <c r="K589"/>
      <c r="L589"/>
      <c r="M589"/>
      <c r="N589"/>
      <c r="O589"/>
      <c r="P589"/>
      <c r="Q589"/>
      <c r="R589"/>
      <c r="S589"/>
      <c r="T589"/>
      <c r="U589"/>
      <c r="V589"/>
      <c r="W589"/>
      <c r="X589"/>
    </row>
    <row r="590" spans="1:24" ht="15" x14ac:dyDescent="0.25">
      <c r="A590"/>
      <c r="B590"/>
      <c r="C590"/>
      <c r="D590"/>
      <c r="E590"/>
      <c r="F590"/>
      <c r="G590"/>
      <c r="H590"/>
      <c r="I590"/>
      <c r="J590"/>
      <c r="K590"/>
      <c r="L590"/>
      <c r="M590"/>
      <c r="N590"/>
      <c r="O590"/>
      <c r="P590"/>
      <c r="Q590"/>
      <c r="R590"/>
      <c r="S590"/>
      <c r="T590"/>
      <c r="U590"/>
      <c r="V590"/>
      <c r="W590"/>
      <c r="X590"/>
    </row>
    <row r="591" spans="1:24" ht="15" x14ac:dyDescent="0.25">
      <c r="A591"/>
      <c r="B591"/>
      <c r="C591"/>
      <c r="D591"/>
      <c r="E591"/>
      <c r="F591"/>
      <c r="G591"/>
      <c r="H591"/>
      <c r="I591"/>
      <c r="J591"/>
      <c r="K591"/>
      <c r="L591"/>
      <c r="M591"/>
      <c r="N591"/>
      <c r="O591"/>
      <c r="P591"/>
      <c r="Q591"/>
      <c r="R591"/>
      <c r="S591"/>
      <c r="T591"/>
      <c r="U591"/>
      <c r="V591"/>
      <c r="W591"/>
      <c r="X591"/>
    </row>
    <row r="592" spans="1:24" ht="15" x14ac:dyDescent="0.25">
      <c r="A592"/>
      <c r="B592"/>
      <c r="C592"/>
      <c r="D592"/>
      <c r="E592"/>
      <c r="F592"/>
      <c r="G592"/>
      <c r="H592"/>
      <c r="I592"/>
      <c r="J592"/>
      <c r="K592"/>
      <c r="L592"/>
      <c r="M592"/>
      <c r="N592"/>
      <c r="O592"/>
      <c r="P592"/>
      <c r="Q592"/>
      <c r="R592"/>
      <c r="S592"/>
      <c r="T592"/>
      <c r="U592"/>
      <c r="V592"/>
      <c r="W592"/>
      <c r="X592"/>
    </row>
    <row r="593" spans="1:24" ht="15" x14ac:dyDescent="0.25">
      <c r="A593"/>
      <c r="B593"/>
      <c r="C593"/>
      <c r="D593"/>
      <c r="E593"/>
      <c r="F593"/>
      <c r="G593"/>
      <c r="H593"/>
      <c r="I593"/>
      <c r="J593"/>
      <c r="K593"/>
      <c r="L593"/>
      <c r="M593"/>
      <c r="N593"/>
      <c r="O593"/>
      <c r="P593"/>
      <c r="Q593"/>
      <c r="R593"/>
      <c r="S593"/>
      <c r="T593"/>
      <c r="U593"/>
      <c r="V593"/>
      <c r="W593"/>
      <c r="X593"/>
    </row>
    <row r="594" spans="1:24" ht="15" x14ac:dyDescent="0.25">
      <c r="A594"/>
      <c r="B594"/>
      <c r="C594"/>
      <c r="D594"/>
      <c r="E594"/>
      <c r="F594"/>
      <c r="G594"/>
      <c r="H594"/>
      <c r="I594"/>
      <c r="J594"/>
      <c r="K594"/>
      <c r="L594"/>
      <c r="M594"/>
      <c r="N594"/>
      <c r="O594"/>
      <c r="P594"/>
      <c r="Q594"/>
      <c r="R594"/>
      <c r="S594"/>
      <c r="T594"/>
      <c r="U594"/>
      <c r="V594"/>
      <c r="W594"/>
      <c r="X594"/>
    </row>
    <row r="595" spans="1:24" ht="15" x14ac:dyDescent="0.25">
      <c r="A595"/>
      <c r="B595"/>
      <c r="C595"/>
      <c r="D595"/>
      <c r="E595"/>
      <c r="F595"/>
      <c r="G595"/>
      <c r="H595"/>
      <c r="I595"/>
      <c r="J595"/>
      <c r="K595"/>
      <c r="L595"/>
      <c r="M595"/>
      <c r="N595"/>
      <c r="O595"/>
      <c r="P595"/>
      <c r="Q595"/>
      <c r="R595"/>
      <c r="S595"/>
      <c r="T595"/>
      <c r="U595"/>
      <c r="V595"/>
      <c r="W595"/>
      <c r="X595"/>
    </row>
    <row r="596" spans="1:24" ht="15" x14ac:dyDescent="0.25">
      <c r="A596"/>
      <c r="B596"/>
      <c r="C596"/>
      <c r="D596"/>
      <c r="E596"/>
      <c r="F596"/>
      <c r="G596"/>
      <c r="H596"/>
      <c r="I596"/>
      <c r="J596"/>
      <c r="K596"/>
      <c r="L596"/>
      <c r="M596"/>
      <c r="N596"/>
      <c r="O596"/>
      <c r="P596"/>
      <c r="Q596"/>
      <c r="R596"/>
      <c r="S596"/>
      <c r="T596"/>
      <c r="U596"/>
      <c r="V596"/>
      <c r="W596"/>
      <c r="X596"/>
    </row>
    <row r="597" spans="1:24" ht="15" x14ac:dyDescent="0.25">
      <c r="A597"/>
      <c r="B597"/>
      <c r="C597"/>
      <c r="D597"/>
      <c r="E597"/>
      <c r="F597"/>
      <c r="G597"/>
      <c r="H597"/>
      <c r="I597"/>
      <c r="J597"/>
      <c r="K597"/>
      <c r="L597"/>
      <c r="M597"/>
      <c r="N597"/>
      <c r="O597"/>
      <c r="P597"/>
      <c r="Q597"/>
      <c r="R597"/>
      <c r="S597"/>
      <c r="T597"/>
      <c r="U597"/>
      <c r="V597"/>
      <c r="W597"/>
      <c r="X597"/>
    </row>
    <row r="598" spans="1:24" ht="15" x14ac:dyDescent="0.25">
      <c r="A598"/>
      <c r="B598"/>
      <c r="C598"/>
      <c r="D598"/>
      <c r="E598"/>
      <c r="F598"/>
      <c r="G598"/>
      <c r="H598"/>
      <c r="I598"/>
      <c r="J598"/>
      <c r="K598"/>
      <c r="L598"/>
      <c r="M598"/>
      <c r="N598"/>
      <c r="O598"/>
      <c r="P598"/>
      <c r="Q598"/>
      <c r="R598"/>
      <c r="S598"/>
      <c r="T598"/>
      <c r="U598"/>
      <c r="V598"/>
      <c r="W598"/>
      <c r="X598"/>
    </row>
    <row r="599" spans="1:24" ht="15" x14ac:dyDescent="0.25">
      <c r="A599"/>
      <c r="B599"/>
      <c r="C599"/>
      <c r="D599"/>
      <c r="E599"/>
      <c r="F599"/>
      <c r="G599"/>
      <c r="H599"/>
      <c r="I599"/>
      <c r="J599"/>
      <c r="K599"/>
      <c r="L599"/>
      <c r="M599"/>
      <c r="N599"/>
      <c r="O599"/>
      <c r="P599"/>
      <c r="Q599"/>
      <c r="R599"/>
      <c r="S599"/>
      <c r="T599"/>
      <c r="U599"/>
      <c r="V599"/>
      <c r="W599"/>
      <c r="X599"/>
    </row>
    <row r="600" spans="1:24" ht="15" x14ac:dyDescent="0.25">
      <c r="A600"/>
      <c r="B600"/>
      <c r="C600"/>
      <c r="D600"/>
      <c r="E600"/>
      <c r="F600"/>
      <c r="G600"/>
      <c r="H600"/>
      <c r="I600"/>
      <c r="J600"/>
      <c r="K600"/>
      <c r="L600"/>
      <c r="M600"/>
      <c r="N600"/>
      <c r="O600"/>
      <c r="P600"/>
      <c r="Q600"/>
      <c r="R600"/>
      <c r="S600"/>
      <c r="T600"/>
      <c r="U600"/>
      <c r="V600"/>
      <c r="W600"/>
      <c r="X600"/>
    </row>
    <row r="601" spans="1:24" ht="15" x14ac:dyDescent="0.25">
      <c r="A601"/>
      <c r="B601"/>
      <c r="C601"/>
      <c r="D601"/>
      <c r="E601"/>
      <c r="F601"/>
      <c r="G601"/>
      <c r="H601"/>
      <c r="I601"/>
      <c r="J601"/>
      <c r="K601"/>
      <c r="L601"/>
      <c r="M601"/>
      <c r="N601"/>
      <c r="O601"/>
      <c r="P601"/>
      <c r="Q601"/>
      <c r="R601"/>
      <c r="S601"/>
      <c r="T601"/>
      <c r="U601"/>
      <c r="V601"/>
      <c r="W601"/>
      <c r="X601"/>
    </row>
    <row r="602" spans="1:24" ht="15" x14ac:dyDescent="0.25">
      <c r="A602"/>
      <c r="B602"/>
      <c r="C602"/>
      <c r="D602"/>
      <c r="E602"/>
      <c r="F602"/>
      <c r="G602"/>
      <c r="H602"/>
      <c r="I602"/>
      <c r="J602"/>
      <c r="K602"/>
      <c r="L602"/>
      <c r="M602"/>
      <c r="N602"/>
      <c r="O602"/>
      <c r="P602"/>
      <c r="Q602"/>
      <c r="R602"/>
      <c r="S602"/>
      <c r="T602"/>
      <c r="U602"/>
      <c r="V602"/>
      <c r="W602"/>
      <c r="X602"/>
    </row>
    <row r="603" spans="1:24" ht="15" x14ac:dyDescent="0.25">
      <c r="A603"/>
      <c r="B603"/>
      <c r="C603"/>
      <c r="D603"/>
      <c r="E603"/>
      <c r="F603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  <c r="X603"/>
    </row>
    <row r="604" spans="1:24" ht="15" x14ac:dyDescent="0.25">
      <c r="A604"/>
      <c r="B604"/>
      <c r="C604"/>
      <c r="D604"/>
      <c r="E604"/>
      <c r="F604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  <c r="X604"/>
    </row>
    <row r="605" spans="1:24" ht="15" x14ac:dyDescent="0.25">
      <c r="A605"/>
      <c r="B605"/>
      <c r="C605"/>
      <c r="D605"/>
      <c r="E605"/>
      <c r="F6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  <c r="X605"/>
    </row>
    <row r="606" spans="1:24" ht="15" x14ac:dyDescent="0.25">
      <c r="A606"/>
      <c r="B606"/>
      <c r="C606"/>
      <c r="D606"/>
      <c r="E606"/>
      <c r="F606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  <c r="X606"/>
    </row>
    <row r="607" spans="1:24" ht="15" x14ac:dyDescent="0.25">
      <c r="A607"/>
      <c r="B607"/>
      <c r="C607"/>
      <c r="D607"/>
      <c r="E607"/>
      <c r="F607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  <c r="X607"/>
    </row>
    <row r="608" spans="1:24" ht="15" x14ac:dyDescent="0.25">
      <c r="A608"/>
      <c r="B608"/>
      <c r="C608"/>
      <c r="D608"/>
      <c r="E608"/>
      <c r="F608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  <c r="X608"/>
    </row>
    <row r="609" spans="1:24" ht="15" x14ac:dyDescent="0.25">
      <c r="A609"/>
      <c r="B609"/>
      <c r="C609"/>
      <c r="D609"/>
      <c r="E609"/>
      <c r="F609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  <c r="X609"/>
    </row>
    <row r="610" spans="1:24" ht="15" x14ac:dyDescent="0.25">
      <c r="A610"/>
      <c r="B610"/>
      <c r="C610"/>
      <c r="D610"/>
      <c r="E610"/>
      <c r="F610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  <c r="X610"/>
    </row>
    <row r="611" spans="1:24" ht="15" x14ac:dyDescent="0.25">
      <c r="A611"/>
      <c r="B611"/>
      <c r="C611"/>
      <c r="D611"/>
      <c r="E611"/>
      <c r="F611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  <c r="X611"/>
    </row>
    <row r="612" spans="1:24" ht="15" x14ac:dyDescent="0.25">
      <c r="A612"/>
      <c r="B612"/>
      <c r="C612"/>
      <c r="D612"/>
      <c r="E612"/>
      <c r="F612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  <c r="X612"/>
    </row>
    <row r="613" spans="1:24" ht="15" x14ac:dyDescent="0.25">
      <c r="A613"/>
      <c r="B613"/>
      <c r="C613"/>
      <c r="D613"/>
      <c r="E613"/>
      <c r="F613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  <c r="X613"/>
    </row>
    <row r="614" spans="1:24" ht="15" x14ac:dyDescent="0.25">
      <c r="A614"/>
      <c r="B614"/>
      <c r="C614"/>
      <c r="D614"/>
      <c r="E614"/>
      <c r="F614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  <c r="X614"/>
    </row>
    <row r="615" spans="1:24" ht="15" x14ac:dyDescent="0.25">
      <c r="A615"/>
      <c r="B615"/>
      <c r="C615"/>
      <c r="D615"/>
      <c r="E615"/>
      <c r="F61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  <c r="X615"/>
    </row>
    <row r="616" spans="1:24" ht="15" x14ac:dyDescent="0.25">
      <c r="A616"/>
      <c r="B616"/>
      <c r="C616"/>
      <c r="D616"/>
      <c r="E616"/>
      <c r="F616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  <c r="X616"/>
    </row>
    <row r="617" spans="1:24" ht="15" x14ac:dyDescent="0.25">
      <c r="A617"/>
      <c r="B617"/>
      <c r="C617"/>
      <c r="D617"/>
      <c r="E617"/>
      <c r="F617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  <c r="X617"/>
    </row>
    <row r="618" spans="1:24" ht="15" x14ac:dyDescent="0.25">
      <c r="A618"/>
      <c r="B618"/>
      <c r="C618"/>
      <c r="D618"/>
      <c r="E618"/>
      <c r="F618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  <c r="X618"/>
    </row>
    <row r="619" spans="1:24" ht="15" x14ac:dyDescent="0.25">
      <c r="A619"/>
      <c r="B619"/>
      <c r="C619"/>
      <c r="D619"/>
      <c r="E619"/>
      <c r="F619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  <c r="X619"/>
    </row>
    <row r="620" spans="1:24" ht="15" x14ac:dyDescent="0.25">
      <c r="A620"/>
      <c r="B620"/>
      <c r="C620"/>
      <c r="D620"/>
      <c r="E620"/>
      <c r="F620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  <c r="X620"/>
    </row>
    <row r="621" spans="1:24" ht="15" x14ac:dyDescent="0.25">
      <c r="A621"/>
      <c r="B621"/>
      <c r="C621"/>
      <c r="D621"/>
      <c r="E621"/>
      <c r="F621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  <c r="X621"/>
    </row>
    <row r="622" spans="1:24" ht="15" x14ac:dyDescent="0.25">
      <c r="A622"/>
      <c r="B622"/>
      <c r="C622"/>
      <c r="D622"/>
      <c r="E622"/>
      <c r="F622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  <c r="X622"/>
    </row>
    <row r="623" spans="1:24" ht="15" x14ac:dyDescent="0.25">
      <c r="A623"/>
      <c r="B623"/>
      <c r="C623"/>
      <c r="D623"/>
      <c r="E623"/>
      <c r="F623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  <c r="X623"/>
    </row>
    <row r="624" spans="1:24" ht="15" x14ac:dyDescent="0.25">
      <c r="A624"/>
      <c r="B624"/>
      <c r="C624"/>
      <c r="D624"/>
      <c r="E624"/>
      <c r="F624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  <c r="X624"/>
    </row>
    <row r="625" spans="1:24" ht="15" x14ac:dyDescent="0.25">
      <c r="A625"/>
      <c r="B625"/>
      <c r="C625"/>
      <c r="D625"/>
      <c r="E625"/>
      <c r="F62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  <c r="X625"/>
    </row>
    <row r="626" spans="1:24" ht="15" x14ac:dyDescent="0.25">
      <c r="A626"/>
      <c r="B626"/>
      <c r="C626"/>
      <c r="D626"/>
      <c r="E626"/>
      <c r="F626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  <c r="X626"/>
    </row>
    <row r="627" spans="1:24" ht="15" x14ac:dyDescent="0.25">
      <c r="A627"/>
      <c r="B627"/>
      <c r="C627"/>
      <c r="D627"/>
      <c r="E627"/>
      <c r="F627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  <c r="X627"/>
    </row>
    <row r="628" spans="1:24" ht="15" x14ac:dyDescent="0.25">
      <c r="A628"/>
      <c r="B628"/>
      <c r="C628"/>
      <c r="D628"/>
      <c r="E628"/>
      <c r="F628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  <c r="X628"/>
    </row>
    <row r="629" spans="1:24" ht="15" x14ac:dyDescent="0.25">
      <c r="A629"/>
      <c r="B629"/>
      <c r="C629"/>
      <c r="D629"/>
      <c r="E629"/>
      <c r="F629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  <c r="X629"/>
    </row>
    <row r="630" spans="1:24" ht="15" x14ac:dyDescent="0.25">
      <c r="A630"/>
      <c r="B630"/>
      <c r="C630"/>
      <c r="D630"/>
      <c r="E630"/>
      <c r="F630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  <c r="X630"/>
    </row>
    <row r="631" spans="1:24" ht="15" x14ac:dyDescent="0.25">
      <c r="A631"/>
      <c r="B631"/>
      <c r="C631"/>
      <c r="D631"/>
      <c r="E631"/>
      <c r="F631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  <c r="X631"/>
    </row>
    <row r="632" spans="1:24" ht="15" x14ac:dyDescent="0.25">
      <c r="A632"/>
      <c r="B632"/>
      <c r="C632"/>
      <c r="D632"/>
      <c r="E632"/>
      <c r="F632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  <c r="X632"/>
    </row>
    <row r="633" spans="1:24" ht="15" x14ac:dyDescent="0.25">
      <c r="A633"/>
      <c r="B633"/>
      <c r="C633"/>
      <c r="D633"/>
      <c r="E633"/>
      <c r="F633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  <c r="X633"/>
    </row>
    <row r="634" spans="1:24" ht="15" x14ac:dyDescent="0.25">
      <c r="A634"/>
      <c r="B634"/>
      <c r="C634"/>
      <c r="D634"/>
      <c r="E634"/>
      <c r="F634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  <c r="X634"/>
    </row>
    <row r="635" spans="1:24" ht="15" x14ac:dyDescent="0.25">
      <c r="A635"/>
      <c r="B635"/>
      <c r="C635"/>
      <c r="D635"/>
      <c r="E635"/>
      <c r="F63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  <c r="X635"/>
    </row>
    <row r="636" spans="1:24" ht="15" x14ac:dyDescent="0.25">
      <c r="A636"/>
      <c r="B636"/>
      <c r="C636"/>
      <c r="D636"/>
      <c r="E636"/>
      <c r="F636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  <c r="X636"/>
    </row>
    <row r="637" spans="1:24" ht="15" x14ac:dyDescent="0.25">
      <c r="A637"/>
      <c r="B637"/>
      <c r="C637"/>
      <c r="D637"/>
      <c r="E637"/>
      <c r="F637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  <c r="X637"/>
    </row>
    <row r="638" spans="1:24" ht="15" x14ac:dyDescent="0.25">
      <c r="A638"/>
      <c r="B638"/>
      <c r="C638"/>
      <c r="D638"/>
      <c r="E638"/>
      <c r="F638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  <c r="X638"/>
    </row>
    <row r="639" spans="1:24" ht="15" x14ac:dyDescent="0.25">
      <c r="A639"/>
      <c r="B639"/>
      <c r="C639"/>
      <c r="D639"/>
      <c r="E639"/>
      <c r="F639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  <c r="X639"/>
    </row>
    <row r="640" spans="1:24" ht="15" x14ac:dyDescent="0.25">
      <c r="A640"/>
      <c r="B640"/>
      <c r="C640"/>
      <c r="D640"/>
      <c r="E640"/>
      <c r="F640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  <c r="X640"/>
    </row>
    <row r="641" spans="1:24" ht="15" x14ac:dyDescent="0.25">
      <c r="A641"/>
      <c r="B641"/>
      <c r="C641"/>
      <c r="D641"/>
      <c r="E641"/>
      <c r="F641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  <c r="X641"/>
    </row>
    <row r="642" spans="1:24" ht="15" x14ac:dyDescent="0.25">
      <c r="A642"/>
      <c r="B642"/>
      <c r="C642"/>
      <c r="D642"/>
      <c r="E642"/>
      <c r="F642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  <c r="X642"/>
    </row>
    <row r="643" spans="1:24" ht="15" x14ac:dyDescent="0.25">
      <c r="A643"/>
      <c r="B643"/>
      <c r="C643"/>
      <c r="D643"/>
      <c r="E643"/>
      <c r="F643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  <c r="X643"/>
    </row>
    <row r="644" spans="1:24" ht="15" x14ac:dyDescent="0.25">
      <c r="A644"/>
      <c r="B644"/>
      <c r="C644"/>
      <c r="D644"/>
      <c r="E644"/>
      <c r="F644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  <c r="X644"/>
    </row>
    <row r="645" spans="1:24" ht="15" x14ac:dyDescent="0.25">
      <c r="A645"/>
      <c r="B645"/>
      <c r="C645"/>
      <c r="D645"/>
      <c r="E645"/>
      <c r="F64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  <c r="X645"/>
    </row>
    <row r="646" spans="1:24" ht="15" x14ac:dyDescent="0.25">
      <c r="A646"/>
      <c r="B646"/>
      <c r="C646"/>
      <c r="D646"/>
      <c r="E646"/>
      <c r="F646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  <c r="X646"/>
    </row>
    <row r="647" spans="1:24" ht="15" x14ac:dyDescent="0.25">
      <c r="A647"/>
      <c r="B647"/>
      <c r="C647"/>
      <c r="D647"/>
      <c r="E647"/>
      <c r="F647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  <c r="X647"/>
    </row>
    <row r="648" spans="1:24" ht="15" x14ac:dyDescent="0.25">
      <c r="A648"/>
      <c r="B648"/>
      <c r="C648"/>
      <c r="D648"/>
      <c r="E648"/>
      <c r="F648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  <c r="X648"/>
    </row>
    <row r="649" spans="1:24" ht="15" x14ac:dyDescent="0.25">
      <c r="A649"/>
      <c r="B649"/>
      <c r="C649"/>
      <c r="D649"/>
      <c r="E649"/>
      <c r="F649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  <c r="X649"/>
    </row>
    <row r="650" spans="1:24" ht="15" x14ac:dyDescent="0.25">
      <c r="A650"/>
      <c r="B650"/>
      <c r="C650"/>
      <c r="D650"/>
      <c r="E650"/>
      <c r="F650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  <c r="X650"/>
    </row>
    <row r="651" spans="1:24" ht="15" x14ac:dyDescent="0.25">
      <c r="A651"/>
      <c r="B651"/>
      <c r="C651"/>
      <c r="D651"/>
      <c r="E651"/>
      <c r="F651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  <c r="X651"/>
    </row>
    <row r="652" spans="1:24" ht="15" x14ac:dyDescent="0.25">
      <c r="A652"/>
      <c r="B652"/>
      <c r="C652"/>
      <c r="D652"/>
      <c r="E652"/>
      <c r="F652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  <c r="X652"/>
    </row>
    <row r="653" spans="1:24" ht="15" x14ac:dyDescent="0.25">
      <c r="A653"/>
      <c r="B653"/>
      <c r="C653"/>
      <c r="D653"/>
      <c r="E653"/>
      <c r="F653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  <c r="X653"/>
    </row>
    <row r="654" spans="1:24" ht="15" x14ac:dyDescent="0.25">
      <c r="A654"/>
      <c r="B654"/>
      <c r="C654"/>
      <c r="D654"/>
      <c r="E654"/>
      <c r="F654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  <c r="X654"/>
    </row>
    <row r="655" spans="1:24" ht="15" x14ac:dyDescent="0.25">
      <c r="A655"/>
      <c r="B655"/>
      <c r="C655"/>
      <c r="D655"/>
      <c r="E655"/>
      <c r="F65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  <c r="X655"/>
    </row>
    <row r="656" spans="1:24" ht="15" x14ac:dyDescent="0.25">
      <c r="A656"/>
      <c r="B656"/>
      <c r="C656"/>
      <c r="D656"/>
      <c r="E656"/>
      <c r="F656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  <c r="X656"/>
    </row>
    <row r="657" spans="1:24" ht="15" x14ac:dyDescent="0.25">
      <c r="A657"/>
      <c r="B657"/>
      <c r="C657"/>
      <c r="D657"/>
      <c r="E657"/>
      <c r="F657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  <c r="X657"/>
    </row>
    <row r="658" spans="1:24" ht="15" x14ac:dyDescent="0.25">
      <c r="A658"/>
      <c r="B658"/>
      <c r="C658"/>
      <c r="D658"/>
      <c r="E658"/>
      <c r="F658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  <c r="X658"/>
    </row>
    <row r="659" spans="1:24" ht="15" x14ac:dyDescent="0.25">
      <c r="A659"/>
      <c r="B659"/>
      <c r="C659"/>
      <c r="D659"/>
      <c r="E659"/>
      <c r="F659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  <c r="X659"/>
    </row>
    <row r="660" spans="1:24" ht="15" x14ac:dyDescent="0.25">
      <c r="A660"/>
      <c r="B660"/>
      <c r="C660"/>
      <c r="D660"/>
      <c r="E660"/>
      <c r="F660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  <c r="X660"/>
    </row>
    <row r="661" spans="1:24" ht="15" x14ac:dyDescent="0.25">
      <c r="A661"/>
      <c r="B661"/>
      <c r="C661"/>
      <c r="D661"/>
      <c r="E661"/>
      <c r="F661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  <c r="X661"/>
    </row>
    <row r="662" spans="1:24" ht="15" x14ac:dyDescent="0.25">
      <c r="A662"/>
      <c r="B662"/>
      <c r="C662"/>
      <c r="D662"/>
      <c r="E662"/>
      <c r="F662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  <c r="X662"/>
    </row>
    <row r="663" spans="1:24" ht="15" x14ac:dyDescent="0.25">
      <c r="A663"/>
      <c r="B663"/>
      <c r="C663"/>
      <c r="D663"/>
      <c r="E663"/>
      <c r="F663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  <c r="X663"/>
    </row>
    <row r="664" spans="1:24" ht="15" x14ac:dyDescent="0.25">
      <c r="A664"/>
      <c r="B664"/>
      <c r="C664"/>
      <c r="D664"/>
      <c r="E664"/>
      <c r="F664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  <c r="X664"/>
    </row>
    <row r="665" spans="1:24" ht="15" x14ac:dyDescent="0.25">
      <c r="A665"/>
      <c r="B665"/>
      <c r="C665"/>
      <c r="D665"/>
      <c r="E665"/>
      <c r="F66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  <c r="X665"/>
    </row>
    <row r="666" spans="1:24" ht="15" x14ac:dyDescent="0.25">
      <c r="A666"/>
      <c r="B666"/>
      <c r="C666"/>
      <c r="D666"/>
      <c r="E666"/>
      <c r="F666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  <c r="X666"/>
    </row>
    <row r="667" spans="1:24" ht="15" x14ac:dyDescent="0.25">
      <c r="A667"/>
      <c r="B667"/>
      <c r="C667"/>
      <c r="D667"/>
      <c r="E667"/>
      <c r="F667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  <c r="X667"/>
    </row>
    <row r="668" spans="1:24" ht="15" x14ac:dyDescent="0.25">
      <c r="A668"/>
      <c r="B668"/>
      <c r="C668"/>
      <c r="D668"/>
      <c r="E668"/>
      <c r="F668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  <c r="X668"/>
    </row>
    <row r="669" spans="1:24" ht="15" x14ac:dyDescent="0.25">
      <c r="A669"/>
      <c r="B669"/>
      <c r="C669"/>
      <c r="D669"/>
      <c r="E669"/>
      <c r="F669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  <c r="X669"/>
    </row>
    <row r="670" spans="1:24" ht="15" x14ac:dyDescent="0.25">
      <c r="A670"/>
      <c r="B670"/>
      <c r="C670"/>
      <c r="D670"/>
      <c r="E670"/>
      <c r="F670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  <c r="X670"/>
    </row>
    <row r="671" spans="1:24" ht="15" x14ac:dyDescent="0.25">
      <c r="A671"/>
      <c r="B671"/>
      <c r="C671"/>
      <c r="D671"/>
      <c r="E671"/>
      <c r="F671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  <c r="X671"/>
    </row>
    <row r="672" spans="1:24" ht="15" x14ac:dyDescent="0.25">
      <c r="A672"/>
      <c r="B672"/>
      <c r="C672"/>
      <c r="D672"/>
      <c r="E672"/>
      <c r="F672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  <c r="X672"/>
    </row>
    <row r="673" spans="1:24" ht="15" x14ac:dyDescent="0.25">
      <c r="A673"/>
      <c r="B673"/>
      <c r="C673"/>
      <c r="D673"/>
      <c r="E673"/>
      <c r="F673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  <c r="X673"/>
    </row>
    <row r="674" spans="1:24" ht="15" x14ac:dyDescent="0.25">
      <c r="A674"/>
      <c r="B674"/>
      <c r="C674"/>
      <c r="D674"/>
      <c r="E674"/>
      <c r="F674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  <c r="X674"/>
    </row>
    <row r="675" spans="1:24" ht="15" x14ac:dyDescent="0.25">
      <c r="A675"/>
      <c r="B675"/>
      <c r="C675"/>
      <c r="D675"/>
      <c r="E675"/>
      <c r="F67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  <c r="X675"/>
    </row>
    <row r="676" spans="1:24" ht="15" x14ac:dyDescent="0.25">
      <c r="A676"/>
      <c r="B676"/>
      <c r="C676"/>
      <c r="D676"/>
      <c r="E676"/>
      <c r="F676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  <c r="X676"/>
    </row>
    <row r="677" spans="1:24" ht="15" x14ac:dyDescent="0.25">
      <c r="A677"/>
      <c r="B677"/>
      <c r="C677"/>
      <c r="D677"/>
      <c r="E677"/>
      <c r="F677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  <c r="X677"/>
    </row>
    <row r="678" spans="1:24" ht="15" x14ac:dyDescent="0.25">
      <c r="A678"/>
      <c r="B678"/>
      <c r="C678"/>
      <c r="D678"/>
      <c r="E678"/>
      <c r="F678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  <c r="X678"/>
    </row>
    <row r="679" spans="1:24" ht="15" x14ac:dyDescent="0.25">
      <c r="A679"/>
      <c r="B679"/>
      <c r="C679"/>
      <c r="D679"/>
      <c r="E679"/>
      <c r="F679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  <c r="X679"/>
    </row>
    <row r="680" spans="1:24" ht="15" x14ac:dyDescent="0.25">
      <c r="A680"/>
      <c r="B680"/>
      <c r="C680"/>
      <c r="D680"/>
      <c r="E680"/>
      <c r="F680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  <c r="X680"/>
    </row>
    <row r="681" spans="1:24" ht="15" x14ac:dyDescent="0.25">
      <c r="A681"/>
      <c r="B681"/>
      <c r="C681"/>
      <c r="D681"/>
      <c r="E681"/>
      <c r="F681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  <c r="X681"/>
    </row>
    <row r="682" spans="1:24" ht="15" x14ac:dyDescent="0.25">
      <c r="A682"/>
      <c r="B682"/>
      <c r="C682"/>
      <c r="D682"/>
      <c r="E682"/>
      <c r="F682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  <c r="X682"/>
    </row>
    <row r="683" spans="1:24" ht="15" x14ac:dyDescent="0.25">
      <c r="A683"/>
      <c r="B683"/>
      <c r="C683"/>
      <c r="D683"/>
      <c r="E683"/>
      <c r="F683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  <c r="X683"/>
    </row>
    <row r="684" spans="1:24" ht="15" x14ac:dyDescent="0.25">
      <c r="A684"/>
      <c r="B684"/>
      <c r="C684"/>
      <c r="D684"/>
      <c r="E684"/>
      <c r="F684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  <c r="X684"/>
    </row>
    <row r="685" spans="1:24" ht="15" x14ac:dyDescent="0.25">
      <c r="A685"/>
      <c r="B685"/>
      <c r="C685"/>
      <c r="D685"/>
      <c r="E685"/>
      <c r="F68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  <c r="X685"/>
    </row>
    <row r="686" spans="1:24" ht="15" x14ac:dyDescent="0.25">
      <c r="A686"/>
      <c r="B686"/>
      <c r="C686"/>
      <c r="D686"/>
      <c r="E686"/>
      <c r="F686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  <c r="X686"/>
    </row>
    <row r="687" spans="1:24" ht="15" x14ac:dyDescent="0.25">
      <c r="A687"/>
      <c r="B687"/>
      <c r="C687"/>
      <c r="D687"/>
      <c r="E687"/>
      <c r="F687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  <c r="X687"/>
    </row>
    <row r="688" spans="1:24" ht="15" x14ac:dyDescent="0.25">
      <c r="A688"/>
      <c r="B688"/>
      <c r="C688"/>
      <c r="D688"/>
      <c r="E688"/>
      <c r="F688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  <c r="X688"/>
    </row>
    <row r="689" spans="1:24" ht="15" x14ac:dyDescent="0.25">
      <c r="A689"/>
      <c r="B689"/>
      <c r="C689"/>
      <c r="D689"/>
      <c r="E689"/>
      <c r="F689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  <c r="X689"/>
    </row>
    <row r="690" spans="1:24" ht="15" x14ac:dyDescent="0.25">
      <c r="A690"/>
      <c r="B690"/>
      <c r="C690"/>
      <c r="D690"/>
      <c r="E690"/>
      <c r="F690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  <c r="X690"/>
    </row>
    <row r="691" spans="1:24" ht="15" x14ac:dyDescent="0.25">
      <c r="A691"/>
      <c r="B691"/>
      <c r="C691"/>
      <c r="D691"/>
      <c r="E691"/>
      <c r="F691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  <c r="X691"/>
    </row>
    <row r="692" spans="1:24" ht="15" x14ac:dyDescent="0.25">
      <c r="A692"/>
      <c r="B692"/>
      <c r="C692"/>
      <c r="D692"/>
      <c r="E692"/>
      <c r="F692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  <c r="X692"/>
    </row>
    <row r="693" spans="1:24" ht="15" x14ac:dyDescent="0.25">
      <c r="A693"/>
      <c r="B693"/>
      <c r="C693"/>
      <c r="D693"/>
      <c r="E693"/>
      <c r="F693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  <c r="X693"/>
    </row>
    <row r="694" spans="1:24" ht="15" x14ac:dyDescent="0.25">
      <c r="A694"/>
      <c r="B694"/>
      <c r="C694"/>
      <c r="D694"/>
      <c r="E694"/>
      <c r="F694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</row>
    <row r="695" spans="1:24" ht="15" x14ac:dyDescent="0.25">
      <c r="A695"/>
      <c r="B695"/>
      <c r="C695"/>
      <c r="D695"/>
      <c r="E695"/>
      <c r="F69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</row>
    <row r="696" spans="1:24" ht="15" x14ac:dyDescent="0.25">
      <c r="A696"/>
      <c r="B696"/>
      <c r="C696"/>
      <c r="D696"/>
      <c r="E696"/>
      <c r="F696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</row>
    <row r="697" spans="1:24" ht="15" x14ac:dyDescent="0.25">
      <c r="A697"/>
      <c r="B697"/>
      <c r="C697"/>
      <c r="D697"/>
      <c r="E697"/>
      <c r="F697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</row>
    <row r="698" spans="1:24" ht="15" x14ac:dyDescent="0.25">
      <c r="A698"/>
      <c r="B698"/>
      <c r="C698"/>
      <c r="D698"/>
      <c r="E698"/>
      <c r="F698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</row>
    <row r="699" spans="1:24" ht="15" x14ac:dyDescent="0.25">
      <c r="A699"/>
      <c r="B699"/>
      <c r="C699"/>
      <c r="D699"/>
      <c r="E699"/>
      <c r="F699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</row>
    <row r="700" spans="1:24" ht="15" x14ac:dyDescent="0.25">
      <c r="A700"/>
      <c r="B700"/>
      <c r="C700"/>
      <c r="D700"/>
      <c r="E700"/>
      <c r="F700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</row>
    <row r="701" spans="1:24" ht="15" x14ac:dyDescent="0.25">
      <c r="A701"/>
      <c r="B701"/>
      <c r="C701"/>
      <c r="D701"/>
      <c r="E701"/>
      <c r="F701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</row>
    <row r="702" spans="1:24" ht="15" x14ac:dyDescent="0.25">
      <c r="A702"/>
      <c r="B702"/>
      <c r="C702"/>
      <c r="D702"/>
      <c r="E702"/>
      <c r="F702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</row>
    <row r="703" spans="1:24" ht="15" x14ac:dyDescent="0.25">
      <c r="A703"/>
      <c r="B703"/>
      <c r="C703"/>
      <c r="D703"/>
      <c r="E703"/>
      <c r="F703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</row>
    <row r="704" spans="1:24" ht="15" x14ac:dyDescent="0.25">
      <c r="A704"/>
      <c r="B704"/>
      <c r="C704"/>
      <c r="D704"/>
      <c r="E704"/>
      <c r="F704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</row>
    <row r="705" spans="1:23" ht="15" x14ac:dyDescent="0.25">
      <c r="A705"/>
      <c r="B705"/>
      <c r="C705"/>
      <c r="D705"/>
      <c r="E705"/>
      <c r="F7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</row>
    <row r="706" spans="1:23" ht="15" x14ac:dyDescent="0.25">
      <c r="A706"/>
      <c r="B706"/>
      <c r="C706"/>
      <c r="D706"/>
      <c r="E706"/>
      <c r="F706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</row>
    <row r="707" spans="1:23" ht="15" x14ac:dyDescent="0.25">
      <c r="A707"/>
      <c r="B707"/>
      <c r="C707"/>
      <c r="D707"/>
      <c r="E707"/>
      <c r="F707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</row>
    <row r="708" spans="1:23" ht="15" x14ac:dyDescent="0.25">
      <c r="A708"/>
      <c r="B708"/>
      <c r="C708"/>
      <c r="D708"/>
      <c r="E708"/>
      <c r="F708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</row>
    <row r="709" spans="1:23" ht="15" x14ac:dyDescent="0.25">
      <c r="A709"/>
      <c r="B709"/>
      <c r="C709"/>
      <c r="D709"/>
      <c r="E709"/>
      <c r="F709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</row>
    <row r="710" spans="1:23" ht="15" x14ac:dyDescent="0.25">
      <c r="A710"/>
      <c r="B710"/>
      <c r="C710"/>
      <c r="D710"/>
      <c r="E710"/>
      <c r="F710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</row>
    <row r="711" spans="1:23" ht="15" x14ac:dyDescent="0.25">
      <c r="A711"/>
      <c r="B711"/>
      <c r="C711"/>
      <c r="D711"/>
      <c r="E711"/>
      <c r="F711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</row>
    <row r="712" spans="1:23" ht="15" x14ac:dyDescent="0.25">
      <c r="A712"/>
      <c r="B712"/>
      <c r="C712"/>
      <c r="D712"/>
      <c r="E712"/>
      <c r="F712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</row>
    <row r="713" spans="1:23" ht="15" x14ac:dyDescent="0.25">
      <c r="A713"/>
      <c r="B713"/>
      <c r="C713"/>
      <c r="D713"/>
      <c r="E713"/>
      <c r="F713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</row>
    <row r="714" spans="1:23" ht="15" x14ac:dyDescent="0.25">
      <c r="A714"/>
      <c r="B714"/>
      <c r="C714"/>
      <c r="D714"/>
      <c r="E714"/>
      <c r="F714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</row>
    <row r="715" spans="1:23" ht="15" x14ac:dyDescent="0.25">
      <c r="A715"/>
      <c r="B715"/>
      <c r="C715"/>
      <c r="D715"/>
      <c r="E715"/>
      <c r="F71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</row>
    <row r="716" spans="1:23" ht="15" x14ac:dyDescent="0.25">
      <c r="A716"/>
      <c r="B716"/>
      <c r="C716"/>
      <c r="D716"/>
      <c r="E716"/>
      <c r="F716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</row>
    <row r="717" spans="1:23" ht="15" x14ac:dyDescent="0.25">
      <c r="A717"/>
      <c r="B717"/>
      <c r="C717"/>
      <c r="D717"/>
      <c r="E717"/>
      <c r="F717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</row>
    <row r="718" spans="1:23" ht="15" x14ac:dyDescent="0.25">
      <c r="A718"/>
      <c r="B718"/>
      <c r="C718"/>
      <c r="D718"/>
      <c r="E718"/>
      <c r="F718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</row>
    <row r="719" spans="1:23" ht="15" x14ac:dyDescent="0.25">
      <c r="A719"/>
      <c r="B719"/>
      <c r="C719"/>
      <c r="D719"/>
      <c r="E719"/>
      <c r="F719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</row>
    <row r="720" spans="1:23" ht="15" x14ac:dyDescent="0.25">
      <c r="A720"/>
      <c r="B720"/>
      <c r="C720"/>
      <c r="D720"/>
      <c r="E720"/>
      <c r="F720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</row>
    <row r="721" spans="1:23" ht="15" x14ac:dyDescent="0.25">
      <c r="A721"/>
      <c r="B721"/>
      <c r="C721"/>
      <c r="D721"/>
      <c r="E721"/>
      <c r="F721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</row>
    <row r="722" spans="1:23" ht="15" x14ac:dyDescent="0.25">
      <c r="A722"/>
      <c r="B722"/>
      <c r="C722"/>
      <c r="D722"/>
      <c r="E722"/>
      <c r="F722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</row>
    <row r="723" spans="1:23" ht="15" x14ac:dyDescent="0.25">
      <c r="A723"/>
      <c r="B723"/>
      <c r="C723"/>
      <c r="D723"/>
      <c r="E723"/>
      <c r="F723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</row>
    <row r="724" spans="1:23" ht="15" x14ac:dyDescent="0.25">
      <c r="A724"/>
      <c r="B724"/>
      <c r="C724"/>
      <c r="D724"/>
      <c r="E724"/>
      <c r="F724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</row>
    <row r="725" spans="1:23" ht="15" x14ac:dyDescent="0.25">
      <c r="A725"/>
      <c r="B725"/>
      <c r="C725"/>
      <c r="D725"/>
      <c r="E725"/>
      <c r="F72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</row>
    <row r="726" spans="1:23" ht="15" x14ac:dyDescent="0.25">
      <c r="A726"/>
      <c r="B726"/>
      <c r="C726"/>
      <c r="D726"/>
      <c r="E726"/>
      <c r="F726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</row>
    <row r="727" spans="1:23" ht="15" x14ac:dyDescent="0.25">
      <c r="A727"/>
      <c r="B727"/>
      <c r="C727"/>
      <c r="D727"/>
      <c r="E727"/>
      <c r="F727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</row>
    <row r="728" spans="1:23" ht="15" x14ac:dyDescent="0.25">
      <c r="A728"/>
      <c r="B728"/>
      <c r="C728"/>
      <c r="D728"/>
      <c r="E728"/>
      <c r="F728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</row>
    <row r="729" spans="1:23" ht="15" x14ac:dyDescent="0.25">
      <c r="A729"/>
      <c r="B729"/>
      <c r="C729"/>
      <c r="D729"/>
      <c r="E729"/>
      <c r="F729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</row>
    <row r="730" spans="1:23" ht="15" x14ac:dyDescent="0.25">
      <c r="A730"/>
      <c r="B730"/>
      <c r="C730"/>
      <c r="D730"/>
      <c r="E730"/>
      <c r="F730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</row>
    <row r="731" spans="1:23" ht="15" x14ac:dyDescent="0.25">
      <c r="A731"/>
      <c r="B731"/>
      <c r="C731"/>
      <c r="D731"/>
      <c r="E731"/>
      <c r="F731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</row>
    <row r="732" spans="1:23" ht="15" x14ac:dyDescent="0.25">
      <c r="A732"/>
      <c r="B732"/>
      <c r="C732"/>
      <c r="D732"/>
      <c r="E732"/>
      <c r="F732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</row>
    <row r="733" spans="1:23" ht="15" x14ac:dyDescent="0.25">
      <c r="A733"/>
      <c r="B733"/>
      <c r="C733"/>
      <c r="D733"/>
      <c r="E733"/>
      <c r="F733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</row>
    <row r="734" spans="1:23" ht="15" x14ac:dyDescent="0.25">
      <c r="A734"/>
      <c r="B734"/>
      <c r="C734"/>
      <c r="D734"/>
      <c r="E734"/>
      <c r="F734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</row>
    <row r="735" spans="1:23" ht="15" x14ac:dyDescent="0.25">
      <c r="A735"/>
      <c r="B735"/>
      <c r="C735"/>
      <c r="D735"/>
      <c r="E735"/>
      <c r="F73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</row>
    <row r="736" spans="1:23" ht="15" x14ac:dyDescent="0.25">
      <c r="A736"/>
      <c r="B736"/>
      <c r="C736"/>
      <c r="D736"/>
      <c r="E736"/>
      <c r="F736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</row>
    <row r="737" spans="1:23" ht="15" x14ac:dyDescent="0.25">
      <c r="A737"/>
      <c r="B737"/>
      <c r="C737"/>
      <c r="D737"/>
      <c r="E737"/>
      <c r="F737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</row>
    <row r="738" spans="1:23" ht="15" x14ac:dyDescent="0.25">
      <c r="A738"/>
      <c r="B738"/>
      <c r="C738"/>
      <c r="D738"/>
      <c r="E738"/>
      <c r="F738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</row>
    <row r="739" spans="1:23" ht="15" x14ac:dyDescent="0.25">
      <c r="A739"/>
      <c r="B739"/>
      <c r="C739"/>
      <c r="D739"/>
      <c r="E739"/>
      <c r="F739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</row>
    <row r="740" spans="1:23" ht="15" x14ac:dyDescent="0.25">
      <c r="A740"/>
      <c r="B740"/>
      <c r="C740"/>
      <c r="D740"/>
      <c r="E740"/>
      <c r="F740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</row>
    <row r="741" spans="1:23" ht="15" x14ac:dyDescent="0.25">
      <c r="A741"/>
      <c r="B741"/>
      <c r="C741"/>
      <c r="D741"/>
      <c r="E741"/>
      <c r="F741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</row>
    <row r="742" spans="1:23" ht="15" x14ac:dyDescent="0.25">
      <c r="A742"/>
      <c r="B742"/>
      <c r="C742"/>
      <c r="D742"/>
      <c r="E742"/>
      <c r="F742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</row>
    <row r="743" spans="1:23" ht="15" x14ac:dyDescent="0.25">
      <c r="A743"/>
      <c r="B743"/>
      <c r="C743"/>
      <c r="D743"/>
      <c r="E743"/>
      <c r="F743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</row>
    <row r="744" spans="1:23" ht="15" x14ac:dyDescent="0.25">
      <c r="A744"/>
      <c r="B744"/>
      <c r="C744"/>
      <c r="D744"/>
      <c r="E744"/>
      <c r="F744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</row>
    <row r="745" spans="1:23" ht="15" x14ac:dyDescent="0.25">
      <c r="A745"/>
      <c r="B745"/>
      <c r="C745"/>
      <c r="D745"/>
      <c r="E745"/>
      <c r="F74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</row>
    <row r="746" spans="1:23" ht="15" x14ac:dyDescent="0.25">
      <c r="A746"/>
      <c r="B746"/>
      <c r="C746"/>
      <c r="D746"/>
      <c r="E746"/>
      <c r="F746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</row>
    <row r="747" spans="1:23" ht="15" x14ac:dyDescent="0.25">
      <c r="A747"/>
      <c r="B747"/>
      <c r="C747"/>
      <c r="D747"/>
      <c r="E747"/>
      <c r="F747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</row>
    <row r="748" spans="1:23" ht="15" x14ac:dyDescent="0.25">
      <c r="A748"/>
      <c r="B748"/>
      <c r="C748"/>
      <c r="D748"/>
      <c r="E748"/>
      <c r="F748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</row>
    <row r="749" spans="1:23" ht="15" x14ac:dyDescent="0.25">
      <c r="A749"/>
      <c r="B749"/>
      <c r="C749"/>
      <c r="D749"/>
      <c r="E749"/>
      <c r="F749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</row>
    <row r="750" spans="1:23" ht="15" x14ac:dyDescent="0.25">
      <c r="A750"/>
      <c r="B750"/>
      <c r="C750"/>
      <c r="D750"/>
      <c r="E750"/>
      <c r="F750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</row>
    <row r="751" spans="1:23" ht="15" x14ac:dyDescent="0.25">
      <c r="A751"/>
      <c r="B751"/>
      <c r="C751"/>
      <c r="D751"/>
      <c r="E751"/>
      <c r="F751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</row>
    <row r="752" spans="1:23" ht="15" x14ac:dyDescent="0.25">
      <c r="A752"/>
      <c r="B752"/>
      <c r="C752"/>
      <c r="D752"/>
      <c r="E752"/>
      <c r="F752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</row>
    <row r="753" spans="1:23" ht="15" x14ac:dyDescent="0.25">
      <c r="A753"/>
      <c r="B753"/>
      <c r="C753"/>
      <c r="D753"/>
      <c r="E753"/>
      <c r="F753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</row>
    <row r="754" spans="1:23" ht="15" x14ac:dyDescent="0.25">
      <c r="A754"/>
      <c r="B754"/>
      <c r="C754"/>
      <c r="D754"/>
      <c r="E754"/>
      <c r="F754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</row>
    <row r="755" spans="1:23" ht="15" x14ac:dyDescent="0.25">
      <c r="A755"/>
      <c r="B755"/>
      <c r="C755"/>
      <c r="D755"/>
      <c r="E755"/>
      <c r="F75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</row>
    <row r="756" spans="1:23" ht="15" x14ac:dyDescent="0.25">
      <c r="A756"/>
      <c r="B756"/>
      <c r="C756"/>
      <c r="D756"/>
      <c r="E756"/>
      <c r="F756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</row>
    <row r="757" spans="1:23" ht="15" x14ac:dyDescent="0.25">
      <c r="A757"/>
      <c r="B757"/>
      <c r="C757"/>
      <c r="D757"/>
      <c r="E757"/>
      <c r="F757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</row>
    <row r="758" spans="1:23" ht="15" x14ac:dyDescent="0.25">
      <c r="A758"/>
      <c r="B758"/>
      <c r="C758"/>
      <c r="D758"/>
      <c r="E758"/>
      <c r="F758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</row>
    <row r="759" spans="1:23" ht="15" x14ac:dyDescent="0.25">
      <c r="A759"/>
      <c r="B759"/>
      <c r="C759"/>
      <c r="D759"/>
      <c r="E759"/>
      <c r="F759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</row>
    <row r="760" spans="1:23" ht="15" x14ac:dyDescent="0.25">
      <c r="A760"/>
      <c r="B760"/>
      <c r="C760"/>
      <c r="D760"/>
      <c r="E760"/>
      <c r="F760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</row>
    <row r="761" spans="1:23" ht="15" x14ac:dyDescent="0.25">
      <c r="A761"/>
      <c r="B761"/>
      <c r="C761"/>
      <c r="D761"/>
      <c r="E761"/>
      <c r="F761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</row>
    <row r="762" spans="1:23" ht="15" x14ac:dyDescent="0.25">
      <c r="A762"/>
      <c r="B762"/>
      <c r="C762"/>
      <c r="D762"/>
      <c r="E762"/>
      <c r="F762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</row>
    <row r="763" spans="1:23" ht="15" x14ac:dyDescent="0.25">
      <c r="A763"/>
      <c r="B763"/>
      <c r="C763"/>
      <c r="D763"/>
      <c r="E763"/>
      <c r="F763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</row>
    <row r="764" spans="1:23" ht="15" x14ac:dyDescent="0.25">
      <c r="A764"/>
      <c r="B764"/>
      <c r="C764"/>
      <c r="D764"/>
      <c r="E764"/>
      <c r="F764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</row>
    <row r="765" spans="1:23" ht="15" x14ac:dyDescent="0.25">
      <c r="A765"/>
      <c r="B765"/>
      <c r="C765"/>
      <c r="D765"/>
      <c r="E765"/>
      <c r="F76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</row>
    <row r="766" spans="1:23" ht="15" x14ac:dyDescent="0.25">
      <c r="A766"/>
      <c r="B766"/>
      <c r="C766"/>
      <c r="D766"/>
      <c r="E766"/>
      <c r="F766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</row>
    <row r="767" spans="1:23" ht="15" x14ac:dyDescent="0.25">
      <c r="A767"/>
      <c r="B767"/>
      <c r="C767"/>
      <c r="D767"/>
      <c r="E767"/>
      <c r="F767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</row>
    <row r="768" spans="1:23" ht="15" x14ac:dyDescent="0.25">
      <c r="A768"/>
      <c r="B768"/>
      <c r="C768"/>
      <c r="D768"/>
      <c r="E768"/>
      <c r="F768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</row>
    <row r="769" spans="1:23" ht="15" x14ac:dyDescent="0.25">
      <c r="A769"/>
      <c r="B769"/>
      <c r="C769"/>
      <c r="D769"/>
      <c r="E769"/>
      <c r="F769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</row>
    <row r="770" spans="1:23" ht="15" x14ac:dyDescent="0.25">
      <c r="A770"/>
      <c r="B770"/>
      <c r="C770"/>
      <c r="D770"/>
      <c r="E770"/>
      <c r="F770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</row>
    <row r="771" spans="1:23" ht="15" x14ac:dyDescent="0.25">
      <c r="A771"/>
      <c r="B771"/>
      <c r="C771"/>
      <c r="D771"/>
      <c r="E771"/>
      <c r="F771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</row>
    <row r="772" spans="1:23" ht="15" x14ac:dyDescent="0.25">
      <c r="A772"/>
      <c r="B772"/>
      <c r="C772"/>
      <c r="D772"/>
      <c r="E772"/>
      <c r="F772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</row>
    <row r="773" spans="1:23" ht="15" x14ac:dyDescent="0.25">
      <c r="A773"/>
      <c r="B773"/>
      <c r="C773"/>
      <c r="D773"/>
      <c r="E773"/>
      <c r="F773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</row>
    <row r="774" spans="1:23" ht="15" x14ac:dyDescent="0.25">
      <c r="A774"/>
      <c r="B774"/>
      <c r="C774"/>
      <c r="D774"/>
      <c r="E774"/>
      <c r="F774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</row>
    <row r="775" spans="1:23" ht="15" x14ac:dyDescent="0.25">
      <c r="A775"/>
      <c r="B775"/>
      <c r="C775"/>
      <c r="D775"/>
      <c r="E775"/>
      <c r="F77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</row>
    <row r="776" spans="1:23" ht="15" x14ac:dyDescent="0.25">
      <c r="A776"/>
      <c r="B776"/>
      <c r="C776"/>
      <c r="D776"/>
      <c r="E776"/>
      <c r="F776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</row>
    <row r="777" spans="1:23" ht="15" x14ac:dyDescent="0.25">
      <c r="A777"/>
      <c r="B777"/>
      <c r="C777"/>
      <c r="D777"/>
      <c r="E777"/>
      <c r="F777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</row>
    <row r="778" spans="1:23" ht="15" x14ac:dyDescent="0.25">
      <c r="A778"/>
      <c r="B778"/>
      <c r="C778"/>
      <c r="D778"/>
      <c r="E778"/>
      <c r="F778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</row>
    <row r="779" spans="1:23" ht="15" x14ac:dyDescent="0.25">
      <c r="A779"/>
      <c r="B779"/>
      <c r="C779"/>
      <c r="D779"/>
      <c r="E779"/>
      <c r="F779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</row>
    <row r="780" spans="1:23" ht="15" x14ac:dyDescent="0.25">
      <c r="A780"/>
      <c r="B780"/>
      <c r="C780"/>
      <c r="D780"/>
      <c r="E780"/>
      <c r="F780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</row>
    <row r="781" spans="1:23" ht="15" x14ac:dyDescent="0.25">
      <c r="A781"/>
      <c r="B781"/>
      <c r="C781"/>
      <c r="D781"/>
      <c r="E781"/>
      <c r="F781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</row>
    <row r="782" spans="1:23" ht="15" x14ac:dyDescent="0.25">
      <c r="A782"/>
      <c r="B782"/>
      <c r="C782"/>
      <c r="D782"/>
      <c r="E782"/>
      <c r="F782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</row>
    <row r="783" spans="1:23" ht="15" x14ac:dyDescent="0.25">
      <c r="A783"/>
      <c r="B783"/>
      <c r="C783"/>
      <c r="D783"/>
      <c r="E783"/>
      <c r="F783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</row>
    <row r="784" spans="1:23" ht="15" x14ac:dyDescent="0.25">
      <c r="A784"/>
      <c r="B784"/>
      <c r="C784"/>
      <c r="D784"/>
      <c r="E784"/>
      <c r="F784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</row>
    <row r="785" spans="1:23" ht="15" x14ac:dyDescent="0.25">
      <c r="A785"/>
      <c r="B785"/>
      <c r="C785"/>
      <c r="D785"/>
      <c r="E785"/>
      <c r="F78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</row>
    <row r="786" spans="1:23" ht="15" x14ac:dyDescent="0.25">
      <c r="A786"/>
      <c r="B786"/>
      <c r="C786"/>
      <c r="D786"/>
      <c r="E786"/>
      <c r="F786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</row>
    <row r="787" spans="1:23" ht="15" x14ac:dyDescent="0.25">
      <c r="A787"/>
      <c r="B787"/>
      <c r="C787"/>
      <c r="D787"/>
      <c r="E787"/>
      <c r="F787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</row>
    <row r="788" spans="1:23" ht="15" x14ac:dyDescent="0.25">
      <c r="A788"/>
      <c r="B788"/>
      <c r="C788"/>
      <c r="D788"/>
      <c r="E788"/>
      <c r="F788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</row>
    <row r="789" spans="1:23" ht="15" x14ac:dyDescent="0.25">
      <c r="A789"/>
      <c r="B789"/>
      <c r="C789"/>
      <c r="D789"/>
      <c r="E789"/>
      <c r="F789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</row>
    <row r="790" spans="1:23" ht="15" x14ac:dyDescent="0.25">
      <c r="A790"/>
      <c r="B790"/>
      <c r="C790"/>
      <c r="D790"/>
      <c r="E790"/>
      <c r="F790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</row>
    <row r="791" spans="1:23" ht="15" x14ac:dyDescent="0.25">
      <c r="A791"/>
      <c r="B791"/>
      <c r="C791"/>
      <c r="D791"/>
      <c r="E791"/>
      <c r="F791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</row>
    <row r="792" spans="1:23" ht="15" x14ac:dyDescent="0.25">
      <c r="A792"/>
      <c r="B792"/>
      <c r="C792"/>
      <c r="D792"/>
      <c r="E792"/>
      <c r="F792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</row>
    <row r="793" spans="1:23" ht="15" x14ac:dyDescent="0.25">
      <c r="A793"/>
      <c r="B793"/>
      <c r="C793"/>
      <c r="D793"/>
      <c r="E793"/>
      <c r="F793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</row>
    <row r="794" spans="1:23" ht="15" x14ac:dyDescent="0.25">
      <c r="A794"/>
      <c r="B794"/>
      <c r="C794"/>
      <c r="D794"/>
      <c r="E794"/>
      <c r="F794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</row>
    <row r="795" spans="1:23" ht="15" x14ac:dyDescent="0.25">
      <c r="A795"/>
      <c r="B795"/>
      <c r="C795"/>
      <c r="D795"/>
      <c r="E795"/>
      <c r="F79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</row>
    <row r="796" spans="1:23" ht="15" x14ac:dyDescent="0.25">
      <c r="A796"/>
      <c r="B796"/>
      <c r="C796"/>
      <c r="D796"/>
      <c r="E796"/>
      <c r="F796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</row>
    <row r="797" spans="1:23" ht="15" x14ac:dyDescent="0.25">
      <c r="A797"/>
      <c r="B797"/>
      <c r="C797"/>
      <c r="D797"/>
      <c r="E797"/>
      <c r="F797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</row>
    <row r="798" spans="1:23" ht="15" x14ac:dyDescent="0.25">
      <c r="A798"/>
      <c r="B798"/>
      <c r="C798"/>
      <c r="D798"/>
      <c r="E798"/>
      <c r="F798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</row>
    <row r="799" spans="1:23" ht="15" x14ac:dyDescent="0.25">
      <c r="A799"/>
      <c r="B799"/>
      <c r="C799"/>
      <c r="D799"/>
      <c r="E799"/>
      <c r="F799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</row>
    <row r="800" spans="1:23" ht="15" x14ac:dyDescent="0.25">
      <c r="A800"/>
      <c r="B800"/>
      <c r="C800"/>
      <c r="D800"/>
      <c r="E800"/>
      <c r="F800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</row>
    <row r="801" spans="1:23" ht="15" x14ac:dyDescent="0.25">
      <c r="A801"/>
      <c r="B801"/>
      <c r="C801"/>
      <c r="D801"/>
      <c r="E801"/>
      <c r="F801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</row>
    <row r="802" spans="1:23" ht="15" x14ac:dyDescent="0.25">
      <c r="A802"/>
      <c r="B802"/>
      <c r="C802"/>
      <c r="D802"/>
      <c r="E802"/>
      <c r="F802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</row>
    <row r="803" spans="1:23" ht="15" x14ac:dyDescent="0.25">
      <c r="A803"/>
      <c r="B803"/>
      <c r="C803"/>
      <c r="D803"/>
      <c r="E803"/>
      <c r="F803"/>
      <c r="G803"/>
      <c r="H803"/>
      <c r="I803"/>
      <c r="J803"/>
      <c r="K803"/>
      <c r="L803"/>
      <c r="M803"/>
      <c r="N803"/>
      <c r="O803"/>
      <c r="P803"/>
      <c r="Q803"/>
      <c r="R803"/>
      <c r="S803"/>
      <c r="T803"/>
      <c r="U803"/>
      <c r="V803"/>
      <c r="W803"/>
    </row>
    <row r="804" spans="1:23" ht="15" x14ac:dyDescent="0.25">
      <c r="A804"/>
      <c r="B804"/>
      <c r="C804"/>
      <c r="D804"/>
      <c r="E804"/>
      <c r="F804"/>
      <c r="G804"/>
      <c r="H804"/>
      <c r="I804"/>
      <c r="J804"/>
      <c r="K804"/>
      <c r="L804"/>
      <c r="M804"/>
      <c r="N804"/>
      <c r="O804"/>
      <c r="P804"/>
      <c r="Q804"/>
      <c r="R804"/>
      <c r="S804"/>
      <c r="T804"/>
      <c r="U804"/>
      <c r="V804"/>
      <c r="W804"/>
    </row>
    <row r="805" spans="1:23" ht="15" x14ac:dyDescent="0.25">
      <c r="A805"/>
      <c r="B805"/>
      <c r="C805"/>
      <c r="D805"/>
      <c r="E805"/>
      <c r="F805"/>
      <c r="G805"/>
      <c r="H805"/>
      <c r="I805"/>
      <c r="J805"/>
      <c r="K805"/>
      <c r="L805"/>
      <c r="M805"/>
      <c r="N805"/>
      <c r="O805"/>
      <c r="P805"/>
      <c r="Q805"/>
      <c r="R805"/>
      <c r="S805"/>
      <c r="T805"/>
      <c r="U805"/>
      <c r="V805"/>
      <c r="W805"/>
    </row>
    <row r="806" spans="1:23" ht="15" x14ac:dyDescent="0.25">
      <c r="A806"/>
      <c r="B806"/>
      <c r="C806"/>
      <c r="D806"/>
      <c r="E806"/>
      <c r="F806"/>
      <c r="G806"/>
      <c r="H806"/>
      <c r="I806"/>
      <c r="J806"/>
      <c r="K806"/>
      <c r="L806"/>
      <c r="M806"/>
      <c r="N806"/>
      <c r="O806"/>
      <c r="P806"/>
      <c r="Q806"/>
      <c r="R806"/>
      <c r="S806"/>
      <c r="T806"/>
      <c r="U806"/>
      <c r="V806"/>
      <c r="W806"/>
    </row>
    <row r="807" spans="1:23" ht="15" x14ac:dyDescent="0.25">
      <c r="A807"/>
      <c r="B807"/>
      <c r="C807"/>
      <c r="D807"/>
      <c r="E807"/>
      <c r="F807"/>
      <c r="G807"/>
      <c r="H807"/>
      <c r="I807"/>
      <c r="J807"/>
      <c r="K807"/>
      <c r="L807"/>
      <c r="M807"/>
      <c r="N807"/>
      <c r="O807"/>
      <c r="P807"/>
      <c r="Q807"/>
      <c r="R807"/>
      <c r="S807"/>
      <c r="T807"/>
      <c r="U807"/>
      <c r="V807"/>
      <c r="W807"/>
    </row>
    <row r="808" spans="1:23" ht="15" x14ac:dyDescent="0.25">
      <c r="A808"/>
      <c r="B808"/>
      <c r="C808"/>
      <c r="D808"/>
      <c r="E808"/>
      <c r="F808"/>
      <c r="G808"/>
      <c r="H808"/>
      <c r="I808"/>
      <c r="J808"/>
      <c r="K808"/>
      <c r="L808"/>
      <c r="M808"/>
      <c r="N808"/>
      <c r="O808"/>
      <c r="P808"/>
      <c r="Q808"/>
      <c r="R808"/>
      <c r="S808"/>
      <c r="T808"/>
      <c r="U808"/>
      <c r="V808"/>
      <c r="W808"/>
    </row>
    <row r="809" spans="1:23" ht="15" x14ac:dyDescent="0.25">
      <c r="A809"/>
      <c r="B809"/>
      <c r="C809"/>
      <c r="D809"/>
      <c r="E809"/>
      <c r="F809"/>
      <c r="G809"/>
      <c r="H809"/>
      <c r="I809"/>
      <c r="J809"/>
      <c r="K809"/>
      <c r="L809"/>
      <c r="M809"/>
      <c r="N809"/>
      <c r="O809"/>
      <c r="P809"/>
      <c r="Q809"/>
      <c r="R809"/>
      <c r="S809"/>
      <c r="T809"/>
      <c r="U809"/>
      <c r="V809"/>
      <c r="W809"/>
    </row>
    <row r="810" spans="1:23" ht="15" x14ac:dyDescent="0.25">
      <c r="A810"/>
      <c r="B810"/>
      <c r="C810"/>
      <c r="D810"/>
      <c r="E810"/>
      <c r="F810"/>
      <c r="G810"/>
      <c r="H810"/>
      <c r="I810"/>
      <c r="J810"/>
      <c r="K810"/>
      <c r="L810"/>
      <c r="M810"/>
      <c r="N810"/>
      <c r="O810"/>
      <c r="P810"/>
      <c r="Q810"/>
      <c r="R810"/>
      <c r="S810"/>
      <c r="T810"/>
      <c r="U810"/>
      <c r="V810"/>
      <c r="W810"/>
    </row>
    <row r="811" spans="1:23" ht="15" x14ac:dyDescent="0.25">
      <c r="A811"/>
      <c r="B811"/>
      <c r="C811"/>
      <c r="D811"/>
      <c r="E811"/>
      <c r="F811"/>
      <c r="G811"/>
      <c r="H811"/>
      <c r="I811"/>
      <c r="J811"/>
      <c r="K811"/>
      <c r="L811"/>
      <c r="M811"/>
      <c r="N811"/>
      <c r="O811"/>
      <c r="P811"/>
      <c r="Q811"/>
      <c r="R811"/>
      <c r="S811"/>
      <c r="T811"/>
      <c r="U811"/>
      <c r="V811"/>
      <c r="W811"/>
    </row>
    <row r="812" spans="1:23" ht="15" x14ac:dyDescent="0.25">
      <c r="A812"/>
      <c r="B812"/>
      <c r="C812"/>
      <c r="D812"/>
      <c r="E812"/>
      <c r="F812"/>
      <c r="G812"/>
      <c r="H812"/>
      <c r="I812"/>
      <c r="J812"/>
      <c r="K812"/>
      <c r="L812"/>
      <c r="M812"/>
      <c r="N812"/>
      <c r="O812"/>
      <c r="P812"/>
      <c r="Q812"/>
      <c r="R812"/>
      <c r="S812"/>
      <c r="T812"/>
      <c r="U812"/>
      <c r="V812"/>
      <c r="W812"/>
    </row>
    <row r="813" spans="1:23" ht="15" x14ac:dyDescent="0.25">
      <c r="A813"/>
      <c r="B813"/>
      <c r="C813"/>
      <c r="D813"/>
      <c r="E813"/>
      <c r="F813"/>
      <c r="G813"/>
      <c r="H813"/>
      <c r="I813"/>
      <c r="J813"/>
      <c r="K813"/>
      <c r="L813"/>
      <c r="M813"/>
      <c r="N813"/>
      <c r="O813"/>
      <c r="P813"/>
      <c r="Q813"/>
      <c r="R813"/>
      <c r="S813"/>
      <c r="T813"/>
      <c r="U813"/>
      <c r="V813"/>
      <c r="W813"/>
    </row>
    <row r="814" spans="1:23" ht="15" x14ac:dyDescent="0.25">
      <c r="A814"/>
      <c r="B814"/>
      <c r="C814"/>
      <c r="D814"/>
      <c r="E814"/>
      <c r="F814"/>
      <c r="G814"/>
      <c r="H814"/>
      <c r="I814"/>
      <c r="J814"/>
      <c r="K814"/>
      <c r="L814"/>
      <c r="M814"/>
      <c r="N814"/>
      <c r="O814"/>
      <c r="P814"/>
      <c r="Q814"/>
      <c r="R814"/>
      <c r="S814"/>
      <c r="T814"/>
      <c r="U814"/>
      <c r="V814"/>
      <c r="W814"/>
    </row>
    <row r="815" spans="1:23" ht="15" x14ac:dyDescent="0.25">
      <c r="A815"/>
      <c r="B815"/>
      <c r="C815"/>
      <c r="D815"/>
      <c r="E815"/>
      <c r="F815"/>
      <c r="G815"/>
      <c r="H815"/>
      <c r="I815"/>
      <c r="J815"/>
      <c r="K815"/>
      <c r="L815"/>
      <c r="M815"/>
      <c r="N815"/>
      <c r="O815"/>
      <c r="P815"/>
      <c r="Q815"/>
      <c r="R815"/>
      <c r="S815"/>
      <c r="T815"/>
      <c r="U815"/>
      <c r="V815"/>
      <c r="W815"/>
    </row>
    <row r="816" spans="1:23" ht="15" x14ac:dyDescent="0.25">
      <c r="A816"/>
      <c r="B816"/>
      <c r="C816"/>
      <c r="D816"/>
      <c r="E816"/>
      <c r="F816"/>
      <c r="G816"/>
      <c r="H816"/>
      <c r="I816"/>
      <c r="J816"/>
      <c r="K816"/>
      <c r="L816"/>
      <c r="M816"/>
      <c r="N816"/>
      <c r="O816"/>
      <c r="P816"/>
      <c r="Q816"/>
      <c r="R816"/>
      <c r="S816"/>
      <c r="T816"/>
      <c r="U816"/>
      <c r="V816"/>
      <c r="W816"/>
    </row>
    <row r="817" spans="1:23" ht="15" x14ac:dyDescent="0.25">
      <c r="A817"/>
      <c r="B817"/>
      <c r="C817"/>
      <c r="D817"/>
      <c r="E817"/>
      <c r="F817"/>
      <c r="G817"/>
      <c r="H817"/>
      <c r="I817"/>
      <c r="J817"/>
      <c r="K817"/>
      <c r="L817"/>
      <c r="M817"/>
      <c r="N817"/>
      <c r="O817"/>
      <c r="P817"/>
      <c r="Q817"/>
      <c r="R817"/>
      <c r="S817"/>
      <c r="T817"/>
      <c r="U817"/>
      <c r="V817"/>
      <c r="W817"/>
    </row>
    <row r="818" spans="1:23" ht="15" x14ac:dyDescent="0.25">
      <c r="A818"/>
      <c r="B818"/>
      <c r="C818"/>
      <c r="D818"/>
      <c r="E818"/>
      <c r="F818"/>
      <c r="G818"/>
      <c r="H818"/>
      <c r="I818"/>
      <c r="J818"/>
      <c r="K818"/>
      <c r="L818"/>
      <c r="M818"/>
      <c r="N818"/>
      <c r="O818"/>
      <c r="P818"/>
      <c r="Q818"/>
      <c r="R818"/>
      <c r="S818"/>
      <c r="T818"/>
      <c r="U818"/>
      <c r="V818"/>
      <c r="W818"/>
    </row>
    <row r="819" spans="1:23" ht="15" x14ac:dyDescent="0.25">
      <c r="A819"/>
      <c r="B819"/>
      <c r="C819"/>
      <c r="D819"/>
      <c r="E819"/>
      <c r="F819"/>
      <c r="G819"/>
      <c r="H819"/>
      <c r="I819"/>
      <c r="J819"/>
      <c r="K819"/>
      <c r="L819"/>
      <c r="M819"/>
      <c r="N819"/>
      <c r="O819"/>
      <c r="P819"/>
      <c r="Q819"/>
      <c r="R819"/>
      <c r="S819"/>
      <c r="T819"/>
      <c r="U819"/>
      <c r="V819"/>
      <c r="W819"/>
    </row>
    <row r="820" spans="1:23" ht="15" x14ac:dyDescent="0.25">
      <c r="A820"/>
      <c r="B820"/>
      <c r="C820"/>
      <c r="D820"/>
      <c r="E820"/>
      <c r="F820"/>
      <c r="G820"/>
      <c r="H820"/>
      <c r="I820"/>
      <c r="J820"/>
      <c r="K820"/>
      <c r="L820"/>
      <c r="M820"/>
      <c r="N820"/>
      <c r="O820"/>
      <c r="P820"/>
      <c r="Q820"/>
      <c r="R820"/>
      <c r="S820"/>
      <c r="T820"/>
      <c r="U820"/>
      <c r="V820"/>
      <c r="W820"/>
    </row>
    <row r="821" spans="1:23" ht="15" x14ac:dyDescent="0.25">
      <c r="A821"/>
      <c r="B821"/>
      <c r="C821"/>
      <c r="D821"/>
      <c r="E821"/>
      <c r="F821"/>
      <c r="G821"/>
      <c r="H821"/>
      <c r="I821"/>
      <c r="J821"/>
      <c r="K821"/>
      <c r="L821"/>
      <c r="M821"/>
      <c r="N821"/>
      <c r="O821"/>
      <c r="P821"/>
      <c r="Q821"/>
      <c r="R821"/>
      <c r="S821"/>
      <c r="T821"/>
      <c r="U821"/>
      <c r="V821"/>
      <c r="W821"/>
    </row>
    <row r="822" spans="1:23" ht="15" x14ac:dyDescent="0.25">
      <c r="A822"/>
      <c r="B822"/>
      <c r="C822"/>
      <c r="D822"/>
      <c r="E822"/>
      <c r="F822"/>
      <c r="G822"/>
      <c r="H822"/>
      <c r="I822"/>
      <c r="J822"/>
      <c r="K822"/>
      <c r="L822"/>
      <c r="M822"/>
      <c r="N822"/>
      <c r="O822"/>
      <c r="P822"/>
      <c r="Q822"/>
      <c r="R822"/>
      <c r="S822"/>
      <c r="T822"/>
      <c r="U822"/>
      <c r="V822"/>
      <c r="W822"/>
    </row>
    <row r="823" spans="1:23" ht="15" x14ac:dyDescent="0.25">
      <c r="A823"/>
      <c r="B823"/>
      <c r="C823"/>
      <c r="D823"/>
      <c r="E823"/>
      <c r="F823"/>
      <c r="G823"/>
      <c r="H823"/>
      <c r="I823"/>
      <c r="J823"/>
      <c r="K823"/>
      <c r="L823"/>
      <c r="M823"/>
      <c r="N823"/>
      <c r="O823"/>
      <c r="P823"/>
      <c r="Q823"/>
      <c r="R823"/>
      <c r="S823"/>
      <c r="T823"/>
      <c r="U823"/>
      <c r="V823"/>
      <c r="W823"/>
    </row>
    <row r="824" spans="1:23" ht="15" x14ac:dyDescent="0.25">
      <c r="A824"/>
      <c r="B824"/>
      <c r="C824"/>
      <c r="D824"/>
      <c r="E824"/>
      <c r="F824"/>
      <c r="G824"/>
      <c r="H824"/>
      <c r="I824"/>
      <c r="J824"/>
      <c r="K824"/>
      <c r="L824"/>
      <c r="M824"/>
      <c r="N824"/>
      <c r="O824"/>
      <c r="P824"/>
      <c r="Q824"/>
      <c r="R824"/>
      <c r="S824"/>
      <c r="T824"/>
      <c r="U824"/>
      <c r="V824"/>
      <c r="W824"/>
    </row>
    <row r="825" spans="1:23" ht="15" x14ac:dyDescent="0.25">
      <c r="A825"/>
      <c r="B825"/>
      <c r="C825"/>
      <c r="D825"/>
      <c r="E825"/>
      <c r="F825"/>
      <c r="G825"/>
      <c r="H825"/>
      <c r="I825"/>
      <c r="J825"/>
      <c r="K825"/>
      <c r="L825"/>
      <c r="M825"/>
      <c r="N825"/>
      <c r="O825"/>
      <c r="P825"/>
      <c r="Q825"/>
      <c r="R825"/>
      <c r="S825"/>
      <c r="T825"/>
      <c r="U825"/>
      <c r="V825"/>
      <c r="W825"/>
    </row>
    <row r="826" spans="1:23" ht="15" x14ac:dyDescent="0.25">
      <c r="A826"/>
      <c r="B826"/>
      <c r="C826"/>
      <c r="D826"/>
      <c r="E826"/>
      <c r="F826"/>
      <c r="G826"/>
      <c r="H826"/>
      <c r="I826"/>
      <c r="J826"/>
      <c r="K826"/>
      <c r="L826"/>
      <c r="M826"/>
      <c r="N826"/>
      <c r="O826"/>
      <c r="P826"/>
      <c r="Q826"/>
      <c r="R826"/>
      <c r="S826"/>
      <c r="T826"/>
      <c r="U826"/>
      <c r="V826"/>
      <c r="W826"/>
    </row>
    <row r="827" spans="1:23" ht="15" x14ac:dyDescent="0.25">
      <c r="A827"/>
      <c r="B827"/>
      <c r="C827"/>
      <c r="D827"/>
      <c r="E827"/>
      <c r="F827"/>
      <c r="G827"/>
      <c r="H827"/>
      <c r="I827"/>
      <c r="J827"/>
      <c r="K827"/>
      <c r="L827"/>
      <c r="M827"/>
      <c r="N827"/>
      <c r="O827"/>
      <c r="P827"/>
      <c r="Q827"/>
      <c r="R827"/>
      <c r="S827"/>
      <c r="T827"/>
      <c r="U827"/>
      <c r="V827"/>
      <c r="W827"/>
    </row>
    <row r="828" spans="1:23" ht="15" x14ac:dyDescent="0.25">
      <c r="A828"/>
      <c r="B828"/>
      <c r="C828"/>
      <c r="D828"/>
      <c r="E828"/>
      <c r="F828"/>
      <c r="G828"/>
      <c r="H828"/>
      <c r="I828"/>
      <c r="J828"/>
      <c r="K828"/>
      <c r="L828"/>
      <c r="M828"/>
      <c r="N828"/>
      <c r="O828"/>
      <c r="P828"/>
      <c r="Q828"/>
      <c r="R828"/>
      <c r="S828"/>
      <c r="T828"/>
      <c r="U828"/>
      <c r="V828"/>
      <c r="W828"/>
    </row>
    <row r="829" spans="1:23" ht="15" x14ac:dyDescent="0.25">
      <c r="A829"/>
      <c r="B829"/>
      <c r="C829"/>
      <c r="D829"/>
      <c r="E829"/>
      <c r="F829"/>
      <c r="G829"/>
      <c r="H829"/>
      <c r="I829"/>
      <c r="J829"/>
      <c r="K829"/>
      <c r="L829"/>
      <c r="M829"/>
      <c r="N829"/>
      <c r="O829"/>
      <c r="P829"/>
      <c r="Q829"/>
      <c r="R829"/>
      <c r="S829"/>
      <c r="T829"/>
      <c r="U829"/>
      <c r="V829"/>
      <c r="W829"/>
    </row>
    <row r="830" spans="1:23" ht="15" x14ac:dyDescent="0.25">
      <c r="A830"/>
      <c r="B830"/>
      <c r="C830"/>
      <c r="D830"/>
      <c r="E830"/>
      <c r="F830"/>
      <c r="G830"/>
      <c r="H830"/>
      <c r="I830"/>
      <c r="J830"/>
      <c r="K830"/>
      <c r="L830"/>
      <c r="M830"/>
      <c r="N830"/>
      <c r="O830"/>
      <c r="P830"/>
      <c r="Q830"/>
      <c r="R830"/>
      <c r="S830"/>
      <c r="T830"/>
      <c r="U830"/>
      <c r="V830"/>
      <c r="W830"/>
    </row>
    <row r="831" spans="1:23" ht="15" x14ac:dyDescent="0.25">
      <c r="A831"/>
      <c r="B831"/>
      <c r="C831"/>
      <c r="D831"/>
      <c r="E831"/>
      <c r="F831"/>
      <c r="G831"/>
      <c r="H831"/>
      <c r="I831"/>
      <c r="J831"/>
      <c r="K831"/>
      <c r="L831"/>
      <c r="M831"/>
      <c r="N831"/>
      <c r="O831"/>
      <c r="P831"/>
      <c r="Q831"/>
      <c r="R831"/>
      <c r="S831"/>
      <c r="T831"/>
      <c r="U831"/>
      <c r="V831"/>
      <c r="W831"/>
    </row>
    <row r="832" spans="1:23" ht="15" x14ac:dyDescent="0.25">
      <c r="A832"/>
      <c r="B832"/>
      <c r="C832"/>
      <c r="D832"/>
      <c r="E832"/>
      <c r="F832"/>
      <c r="G832"/>
      <c r="H832"/>
      <c r="I832"/>
      <c r="J832"/>
      <c r="K832"/>
      <c r="L832"/>
      <c r="M832"/>
      <c r="N832"/>
      <c r="O832"/>
      <c r="P832"/>
      <c r="Q832"/>
      <c r="R832"/>
      <c r="S832"/>
      <c r="T832"/>
      <c r="U832"/>
      <c r="V832"/>
      <c r="W832"/>
    </row>
    <row r="833" spans="1:23" ht="15" x14ac:dyDescent="0.25">
      <c r="A833"/>
      <c r="B833"/>
      <c r="C833"/>
      <c r="D833"/>
      <c r="E833"/>
      <c r="F833"/>
      <c r="G833"/>
      <c r="H833"/>
      <c r="I833"/>
      <c r="J833"/>
      <c r="K833"/>
      <c r="L833"/>
      <c r="M833"/>
      <c r="N833"/>
      <c r="O833"/>
      <c r="P833"/>
      <c r="Q833"/>
      <c r="R833"/>
      <c r="S833"/>
      <c r="T833"/>
      <c r="U833"/>
      <c r="V833"/>
      <c r="W833"/>
    </row>
    <row r="834" spans="1:23" ht="15" x14ac:dyDescent="0.25">
      <c r="A834"/>
      <c r="B834"/>
      <c r="C834"/>
      <c r="D834"/>
      <c r="E834"/>
      <c r="F834"/>
      <c r="G834"/>
      <c r="H834"/>
      <c r="I834"/>
      <c r="J834"/>
      <c r="K834"/>
      <c r="L834"/>
      <c r="M834"/>
      <c r="N834"/>
      <c r="O834"/>
      <c r="P834"/>
      <c r="Q834"/>
      <c r="R834"/>
      <c r="S834"/>
      <c r="T834"/>
      <c r="U834"/>
      <c r="V834"/>
      <c r="W834"/>
    </row>
    <row r="835" spans="1:23" ht="15" x14ac:dyDescent="0.25">
      <c r="A835"/>
      <c r="B835"/>
      <c r="C835"/>
      <c r="D835"/>
      <c r="E835"/>
      <c r="F835"/>
      <c r="G835"/>
      <c r="H835"/>
      <c r="I835"/>
      <c r="J835"/>
      <c r="K835"/>
      <c r="L835"/>
      <c r="M835"/>
      <c r="N835"/>
      <c r="O835"/>
      <c r="P835"/>
      <c r="Q835"/>
      <c r="R835"/>
      <c r="S835"/>
      <c r="T835"/>
      <c r="U835"/>
      <c r="V835"/>
      <c r="W835"/>
    </row>
    <row r="836" spans="1:23" ht="15" x14ac:dyDescent="0.25">
      <c r="A836"/>
      <c r="B836"/>
      <c r="C836"/>
      <c r="D836"/>
      <c r="E836"/>
      <c r="F836"/>
      <c r="G836"/>
      <c r="H836"/>
      <c r="I836"/>
      <c r="J836"/>
      <c r="K836"/>
      <c r="L836"/>
      <c r="M836"/>
      <c r="N836"/>
      <c r="O836"/>
      <c r="P836"/>
      <c r="Q836"/>
      <c r="R836"/>
      <c r="S836"/>
      <c r="T836"/>
      <c r="U836"/>
      <c r="V836"/>
      <c r="W836"/>
    </row>
    <row r="837" spans="1:23" ht="15" x14ac:dyDescent="0.25">
      <c r="A837"/>
      <c r="B837"/>
      <c r="C837"/>
      <c r="D837"/>
      <c r="E837"/>
      <c r="F837"/>
      <c r="G837"/>
      <c r="H837"/>
      <c r="I837"/>
      <c r="J837"/>
      <c r="K837"/>
      <c r="L837"/>
      <c r="M837"/>
      <c r="N837"/>
      <c r="O837"/>
      <c r="P837"/>
      <c r="Q837"/>
      <c r="R837"/>
      <c r="S837"/>
      <c r="T837"/>
      <c r="U837"/>
      <c r="V837"/>
      <c r="W837"/>
    </row>
    <row r="838" spans="1:23" ht="15" x14ac:dyDescent="0.25">
      <c r="A838"/>
      <c r="B838"/>
      <c r="C838"/>
      <c r="D838"/>
      <c r="E838"/>
      <c r="F838"/>
      <c r="G838"/>
      <c r="H838"/>
      <c r="I838"/>
      <c r="J838"/>
      <c r="K838"/>
      <c r="L838"/>
      <c r="M838"/>
      <c r="N838"/>
      <c r="O838"/>
      <c r="P838"/>
      <c r="Q838"/>
      <c r="R838"/>
      <c r="S838"/>
      <c r="T838"/>
      <c r="U838"/>
      <c r="V838"/>
      <c r="W838"/>
    </row>
    <row r="839" spans="1:23" ht="15" x14ac:dyDescent="0.25">
      <c r="A839"/>
      <c r="B839"/>
      <c r="C839"/>
      <c r="D839"/>
      <c r="E839"/>
      <c r="F839"/>
      <c r="G839"/>
      <c r="H839"/>
      <c r="I839"/>
      <c r="J839"/>
      <c r="K839"/>
      <c r="L839"/>
      <c r="M839"/>
      <c r="N839"/>
      <c r="O839"/>
      <c r="P839"/>
      <c r="Q839"/>
      <c r="R839"/>
      <c r="S839"/>
      <c r="T839"/>
      <c r="U839"/>
      <c r="V839"/>
      <c r="W839"/>
    </row>
    <row r="840" spans="1:23" ht="15" x14ac:dyDescent="0.25">
      <c r="A840"/>
      <c r="B840"/>
      <c r="C840"/>
      <c r="D840"/>
      <c r="E840"/>
      <c r="F840"/>
      <c r="G840"/>
      <c r="H840"/>
      <c r="I840"/>
      <c r="J840"/>
      <c r="K840"/>
      <c r="L840"/>
      <c r="M840"/>
      <c r="N840"/>
      <c r="O840"/>
      <c r="P840"/>
      <c r="Q840"/>
      <c r="R840"/>
      <c r="S840"/>
      <c r="T840"/>
      <c r="U840"/>
      <c r="V840"/>
      <c r="W840"/>
    </row>
    <row r="841" spans="1:23" ht="15" x14ac:dyDescent="0.25">
      <c r="A841"/>
      <c r="B841"/>
      <c r="C841"/>
      <c r="D841"/>
      <c r="E841"/>
      <c r="F841"/>
      <c r="G841"/>
      <c r="H841"/>
      <c r="I841"/>
      <c r="J841"/>
      <c r="K841"/>
      <c r="L841"/>
      <c r="M841"/>
      <c r="N841"/>
      <c r="O841"/>
      <c r="P841"/>
      <c r="Q841"/>
      <c r="R841"/>
      <c r="S841"/>
      <c r="T841"/>
      <c r="U841"/>
      <c r="V841"/>
      <c r="W841"/>
    </row>
    <row r="842" spans="1:23" ht="15" x14ac:dyDescent="0.25">
      <c r="A842"/>
      <c r="B842"/>
      <c r="C842"/>
      <c r="D842"/>
      <c r="E842"/>
      <c r="F842"/>
      <c r="G842"/>
      <c r="H842"/>
      <c r="I842"/>
      <c r="J842"/>
      <c r="K842"/>
      <c r="L842"/>
      <c r="M842"/>
      <c r="N842"/>
      <c r="O842"/>
      <c r="P842"/>
      <c r="Q842"/>
      <c r="R842"/>
      <c r="S842"/>
      <c r="T842"/>
      <c r="U842"/>
      <c r="V842"/>
      <c r="W842"/>
    </row>
    <row r="843" spans="1:23" ht="15" x14ac:dyDescent="0.25">
      <c r="A843"/>
      <c r="B843"/>
      <c r="C843"/>
      <c r="D843"/>
      <c r="E843"/>
      <c r="F843"/>
      <c r="G843"/>
      <c r="H843"/>
      <c r="I843"/>
      <c r="J843"/>
      <c r="K843"/>
      <c r="L843"/>
      <c r="M843"/>
      <c r="N843"/>
      <c r="O843"/>
      <c r="P843"/>
      <c r="Q843"/>
      <c r="R843"/>
      <c r="S843"/>
      <c r="T843"/>
      <c r="U843"/>
      <c r="V843"/>
      <c r="W843"/>
    </row>
    <row r="844" spans="1:23" ht="15" x14ac:dyDescent="0.25">
      <c r="A844"/>
      <c r="B844"/>
      <c r="C844"/>
      <c r="D844"/>
      <c r="E844"/>
      <c r="F844"/>
      <c r="G844"/>
      <c r="H844"/>
      <c r="I844"/>
      <c r="J844"/>
      <c r="K844"/>
      <c r="L844"/>
      <c r="M844"/>
      <c r="N844"/>
      <c r="O844"/>
      <c r="P844"/>
      <c r="Q844"/>
      <c r="R844"/>
      <c r="S844"/>
      <c r="T844"/>
      <c r="U844"/>
      <c r="V844"/>
      <c r="W844"/>
    </row>
    <row r="845" spans="1:23" ht="15" x14ac:dyDescent="0.25">
      <c r="A845"/>
      <c r="B845"/>
      <c r="C845"/>
      <c r="D845"/>
      <c r="E845"/>
      <c r="F845"/>
      <c r="G845"/>
      <c r="H845"/>
      <c r="I845"/>
      <c r="J845"/>
      <c r="K845"/>
      <c r="L845"/>
      <c r="M845"/>
      <c r="N845"/>
      <c r="O845"/>
      <c r="P845"/>
      <c r="Q845"/>
      <c r="R845"/>
      <c r="S845"/>
      <c r="T845"/>
      <c r="U845"/>
      <c r="V845"/>
      <c r="W845"/>
    </row>
    <row r="846" spans="1:23" ht="15" x14ac:dyDescent="0.25">
      <c r="A846"/>
      <c r="B846"/>
      <c r="C846"/>
      <c r="D846"/>
      <c r="E846"/>
      <c r="F846"/>
      <c r="G846"/>
      <c r="H846"/>
      <c r="I846"/>
      <c r="J846"/>
      <c r="K846"/>
      <c r="L846"/>
      <c r="M846"/>
      <c r="N846"/>
      <c r="O846"/>
      <c r="P846"/>
      <c r="Q846"/>
      <c r="R846"/>
      <c r="S846"/>
      <c r="T846"/>
      <c r="U846"/>
      <c r="V846"/>
      <c r="W846"/>
    </row>
    <row r="847" spans="1:23" ht="15" x14ac:dyDescent="0.25">
      <c r="A847"/>
      <c r="B847"/>
      <c r="C847"/>
      <c r="D847"/>
      <c r="E847"/>
      <c r="F847"/>
      <c r="G847"/>
      <c r="H847"/>
      <c r="I847"/>
      <c r="J847"/>
      <c r="K847"/>
      <c r="L847"/>
      <c r="M847"/>
      <c r="N847"/>
      <c r="O847"/>
      <c r="P847"/>
      <c r="Q847"/>
      <c r="R847"/>
      <c r="S847"/>
      <c r="T847"/>
      <c r="U847"/>
      <c r="V847"/>
      <c r="W847"/>
    </row>
    <row r="848" spans="1:23" ht="15" x14ac:dyDescent="0.25">
      <c r="A848"/>
      <c r="B848"/>
      <c r="C848"/>
      <c r="D848"/>
      <c r="E848"/>
      <c r="F848"/>
      <c r="G848"/>
      <c r="H848"/>
      <c r="I848"/>
      <c r="J848"/>
      <c r="K848"/>
      <c r="L848"/>
      <c r="M848"/>
      <c r="N848"/>
      <c r="O848"/>
      <c r="P848"/>
      <c r="Q848"/>
      <c r="R848"/>
      <c r="S848"/>
      <c r="T848"/>
      <c r="U848"/>
      <c r="V848"/>
      <c r="W848"/>
    </row>
    <row r="849" spans="1:23" ht="15" x14ac:dyDescent="0.25">
      <c r="A849"/>
      <c r="B849"/>
      <c r="C849"/>
      <c r="D849"/>
      <c r="E849"/>
      <c r="F849"/>
      <c r="G849"/>
      <c r="H849"/>
      <c r="I849"/>
      <c r="J849"/>
      <c r="K849"/>
      <c r="L849"/>
      <c r="M849"/>
      <c r="N849"/>
      <c r="O849"/>
      <c r="P849"/>
      <c r="Q849"/>
      <c r="R849"/>
      <c r="S849"/>
      <c r="T849"/>
      <c r="U849"/>
      <c r="V849"/>
      <c r="W849"/>
    </row>
    <row r="850" spans="1:23" ht="15" x14ac:dyDescent="0.25">
      <c r="A850"/>
      <c r="B850"/>
      <c r="C850"/>
      <c r="D850"/>
      <c r="E850"/>
      <c r="F850"/>
      <c r="G850"/>
      <c r="H850"/>
      <c r="I850"/>
      <c r="J850"/>
      <c r="K850"/>
      <c r="L850"/>
      <c r="M850"/>
      <c r="N850"/>
      <c r="O850"/>
      <c r="P850"/>
      <c r="Q850"/>
      <c r="R850"/>
      <c r="S850"/>
      <c r="T850"/>
      <c r="U850"/>
      <c r="V850"/>
      <c r="W850"/>
    </row>
    <row r="851" spans="1:23" ht="15" x14ac:dyDescent="0.25">
      <c r="A851"/>
      <c r="B851"/>
      <c r="C851"/>
      <c r="D851"/>
      <c r="E851"/>
      <c r="F851"/>
      <c r="G851"/>
      <c r="H851"/>
      <c r="I851"/>
      <c r="J851"/>
      <c r="K851"/>
      <c r="L851"/>
      <c r="M851"/>
      <c r="N851"/>
      <c r="O851"/>
      <c r="P851"/>
      <c r="Q851"/>
      <c r="R851"/>
      <c r="S851"/>
      <c r="T851"/>
      <c r="U851"/>
      <c r="V851"/>
      <c r="W851"/>
    </row>
    <row r="852" spans="1:23" ht="15" x14ac:dyDescent="0.25">
      <c r="A852"/>
      <c r="B852"/>
      <c r="C852"/>
      <c r="D852"/>
      <c r="E852"/>
      <c r="F852"/>
      <c r="G852"/>
      <c r="H852"/>
      <c r="I852"/>
      <c r="J852"/>
      <c r="K852"/>
      <c r="L852"/>
      <c r="M852"/>
      <c r="N852"/>
      <c r="O852"/>
      <c r="P852"/>
      <c r="Q852"/>
      <c r="R852"/>
      <c r="S852"/>
      <c r="T852"/>
      <c r="U852"/>
      <c r="V852"/>
      <c r="W852"/>
    </row>
    <row r="853" spans="1:23" ht="15" x14ac:dyDescent="0.25">
      <c r="A853"/>
      <c r="B853"/>
      <c r="C853"/>
      <c r="D853"/>
      <c r="E853"/>
      <c r="F853"/>
      <c r="G853"/>
      <c r="H853"/>
      <c r="I853"/>
      <c r="J853"/>
      <c r="K853"/>
      <c r="L853"/>
      <c r="M853"/>
      <c r="N853"/>
      <c r="O853"/>
      <c r="P853"/>
      <c r="Q853"/>
      <c r="R853"/>
      <c r="S853"/>
      <c r="T853"/>
      <c r="U853"/>
      <c r="V853"/>
      <c r="W853"/>
    </row>
    <row r="854" spans="1:23" ht="15" x14ac:dyDescent="0.25">
      <c r="A854"/>
      <c r="B854"/>
      <c r="C854"/>
      <c r="D854"/>
      <c r="E854"/>
      <c r="F854"/>
      <c r="G854"/>
      <c r="H854"/>
      <c r="I854"/>
      <c r="J854"/>
      <c r="K854"/>
      <c r="L854"/>
      <c r="M854"/>
      <c r="N854"/>
      <c r="O854"/>
      <c r="P854"/>
      <c r="Q854"/>
      <c r="R854"/>
      <c r="S854"/>
      <c r="T854"/>
      <c r="U854"/>
      <c r="V854"/>
      <c r="W854"/>
    </row>
    <row r="855" spans="1:23" ht="15" x14ac:dyDescent="0.25">
      <c r="A855"/>
      <c r="B855"/>
      <c r="C855"/>
      <c r="D855"/>
      <c r="E855"/>
      <c r="F855"/>
      <c r="G855"/>
      <c r="H855"/>
      <c r="I855"/>
      <c r="J855"/>
      <c r="K855"/>
      <c r="L855"/>
      <c r="M855"/>
      <c r="N855"/>
      <c r="O855"/>
      <c r="P855"/>
      <c r="Q855"/>
      <c r="R855"/>
      <c r="S855"/>
      <c r="T855"/>
      <c r="U855"/>
      <c r="V855"/>
      <c r="W855"/>
    </row>
    <row r="856" spans="1:23" ht="15" x14ac:dyDescent="0.25">
      <c r="A856"/>
      <c r="B856"/>
      <c r="C856"/>
      <c r="D856"/>
      <c r="E856"/>
      <c r="F856"/>
      <c r="G856"/>
      <c r="H856"/>
      <c r="I856"/>
      <c r="J856"/>
      <c r="K856"/>
      <c r="L856"/>
      <c r="M856"/>
      <c r="N856"/>
      <c r="O856"/>
      <c r="P856"/>
      <c r="Q856"/>
      <c r="R856"/>
      <c r="S856"/>
      <c r="T856"/>
      <c r="U856"/>
      <c r="V856"/>
      <c r="W856"/>
    </row>
    <row r="857" spans="1:23" ht="15" x14ac:dyDescent="0.25">
      <c r="A857"/>
      <c r="B857"/>
      <c r="C857"/>
      <c r="D857"/>
      <c r="E857"/>
      <c r="F857"/>
      <c r="G857"/>
      <c r="H857"/>
      <c r="I857"/>
      <c r="J857"/>
      <c r="K857"/>
      <c r="L857"/>
      <c r="M857"/>
      <c r="N857"/>
      <c r="O857"/>
      <c r="P857"/>
      <c r="Q857"/>
      <c r="R857"/>
      <c r="S857"/>
      <c r="T857"/>
      <c r="U857"/>
      <c r="V857"/>
      <c r="W857"/>
    </row>
    <row r="858" spans="1:23" ht="15" x14ac:dyDescent="0.25">
      <c r="A858"/>
      <c r="B858"/>
      <c r="C858"/>
      <c r="D858"/>
      <c r="E858"/>
      <c r="F858"/>
      <c r="G858"/>
      <c r="H858"/>
      <c r="I858"/>
      <c r="J858"/>
      <c r="K858"/>
      <c r="L858"/>
      <c r="M858"/>
      <c r="N858"/>
      <c r="O858"/>
      <c r="P858"/>
      <c r="Q858"/>
      <c r="R858"/>
      <c r="S858"/>
      <c r="T858"/>
      <c r="U858"/>
      <c r="V858"/>
      <c r="W858"/>
    </row>
    <row r="859" spans="1:23" ht="15" x14ac:dyDescent="0.25">
      <c r="A859"/>
      <c r="B859"/>
      <c r="C859"/>
      <c r="D859"/>
      <c r="E859"/>
      <c r="F859"/>
      <c r="G859"/>
      <c r="H859"/>
      <c r="I859"/>
      <c r="J859"/>
      <c r="K859"/>
      <c r="L859"/>
      <c r="M859"/>
      <c r="N859"/>
      <c r="O859"/>
      <c r="P859"/>
      <c r="Q859"/>
      <c r="R859"/>
      <c r="S859"/>
      <c r="T859"/>
      <c r="U859"/>
      <c r="V859"/>
      <c r="W859"/>
    </row>
    <row r="860" spans="1:23" ht="15" x14ac:dyDescent="0.25">
      <c r="A860"/>
      <c r="B860"/>
      <c r="C860"/>
      <c r="D860"/>
      <c r="E860"/>
      <c r="F860"/>
      <c r="G860"/>
      <c r="H860"/>
      <c r="I860"/>
      <c r="J860"/>
      <c r="K860"/>
      <c r="L860"/>
      <c r="M860"/>
      <c r="N860"/>
      <c r="O860"/>
      <c r="P860"/>
      <c r="Q860"/>
      <c r="R860"/>
      <c r="S860"/>
      <c r="T860"/>
      <c r="U860"/>
      <c r="V860"/>
      <c r="W860"/>
    </row>
    <row r="861" spans="1:23" ht="15" x14ac:dyDescent="0.25">
      <c r="A861"/>
      <c r="B861"/>
      <c r="C861"/>
      <c r="D861"/>
      <c r="E861"/>
      <c r="F861"/>
      <c r="G861"/>
      <c r="H861"/>
      <c r="I861"/>
      <c r="J861"/>
      <c r="K861"/>
      <c r="L861"/>
      <c r="M861"/>
      <c r="N861"/>
      <c r="O861"/>
      <c r="P861"/>
      <c r="Q861"/>
      <c r="R861"/>
      <c r="S861"/>
      <c r="T861"/>
      <c r="U861"/>
      <c r="V861"/>
      <c r="W861"/>
    </row>
    <row r="862" spans="1:23" ht="15" x14ac:dyDescent="0.25">
      <c r="A862"/>
      <c r="B862"/>
      <c r="C862"/>
      <c r="D862"/>
      <c r="E862"/>
      <c r="F862"/>
      <c r="G862"/>
      <c r="H862"/>
      <c r="I862"/>
      <c r="J862"/>
      <c r="K862"/>
      <c r="L862"/>
      <c r="M862"/>
      <c r="N862"/>
      <c r="O862"/>
      <c r="P862"/>
      <c r="Q862"/>
      <c r="R862"/>
      <c r="S862"/>
      <c r="T862"/>
      <c r="U862"/>
      <c r="V862"/>
      <c r="W862"/>
    </row>
    <row r="863" spans="1:23" ht="15" x14ac:dyDescent="0.25">
      <c r="A863"/>
      <c r="B863"/>
      <c r="C863"/>
      <c r="D863"/>
      <c r="E863"/>
      <c r="F863"/>
      <c r="G863"/>
      <c r="H863"/>
      <c r="I863"/>
      <c r="J863"/>
      <c r="K863"/>
      <c r="L863"/>
      <c r="M863"/>
      <c r="N863"/>
      <c r="O863"/>
      <c r="P863"/>
      <c r="Q863"/>
      <c r="R863"/>
      <c r="S863"/>
      <c r="T863"/>
      <c r="U863"/>
      <c r="V863"/>
      <c r="W863"/>
    </row>
    <row r="864" spans="1:23" ht="15" x14ac:dyDescent="0.25">
      <c r="A864"/>
      <c r="B864"/>
      <c r="C864"/>
      <c r="D864"/>
      <c r="E864"/>
      <c r="F864"/>
      <c r="G864"/>
      <c r="H864"/>
      <c r="I864"/>
      <c r="J864"/>
      <c r="K864"/>
      <c r="L864"/>
      <c r="M864"/>
      <c r="N864"/>
      <c r="O864"/>
      <c r="P864"/>
      <c r="Q864"/>
      <c r="R864"/>
      <c r="S864"/>
      <c r="T864"/>
      <c r="U864"/>
      <c r="V864"/>
      <c r="W864"/>
    </row>
    <row r="865" spans="1:23" ht="15" x14ac:dyDescent="0.25">
      <c r="A865"/>
      <c r="B865"/>
      <c r="C865"/>
      <c r="D865"/>
      <c r="E865"/>
      <c r="F865"/>
      <c r="G865"/>
      <c r="H865"/>
      <c r="I865"/>
      <c r="J865"/>
      <c r="K865"/>
      <c r="L865"/>
      <c r="M865"/>
      <c r="N865"/>
      <c r="O865"/>
      <c r="P865"/>
      <c r="Q865"/>
      <c r="R865"/>
      <c r="S865"/>
      <c r="T865"/>
      <c r="U865"/>
      <c r="V865"/>
      <c r="W865"/>
    </row>
    <row r="866" spans="1:23" ht="15" x14ac:dyDescent="0.25">
      <c r="A866"/>
      <c r="B866"/>
      <c r="C866"/>
      <c r="D866"/>
      <c r="E866"/>
      <c r="F866"/>
      <c r="G866"/>
      <c r="H866"/>
      <c r="I866"/>
      <c r="J866"/>
      <c r="K866"/>
      <c r="L866"/>
      <c r="M866"/>
      <c r="N866"/>
      <c r="O866"/>
      <c r="P866"/>
      <c r="Q866"/>
      <c r="R866"/>
      <c r="S866"/>
      <c r="T866"/>
      <c r="U866"/>
      <c r="V866"/>
      <c r="W866"/>
    </row>
    <row r="867" spans="1:23" ht="15" x14ac:dyDescent="0.25">
      <c r="A867"/>
      <c r="B867"/>
      <c r="C867"/>
      <c r="D867"/>
      <c r="E867"/>
      <c r="F867"/>
      <c r="G867"/>
      <c r="H867"/>
      <c r="I867"/>
      <c r="J867"/>
      <c r="K867"/>
      <c r="L867"/>
      <c r="M867"/>
      <c r="N867"/>
      <c r="O867"/>
      <c r="P867"/>
      <c r="Q867"/>
      <c r="R867"/>
      <c r="S867"/>
      <c r="T867"/>
      <c r="U867"/>
      <c r="V867"/>
      <c r="W867"/>
    </row>
    <row r="868" spans="1:23" ht="15" x14ac:dyDescent="0.25">
      <c r="A868"/>
      <c r="B868"/>
      <c r="C868"/>
      <c r="D868"/>
      <c r="E868"/>
      <c r="F868"/>
      <c r="G868"/>
      <c r="H868"/>
      <c r="I868"/>
      <c r="J868"/>
      <c r="K868"/>
      <c r="L868"/>
      <c r="M868"/>
      <c r="N868"/>
      <c r="O868"/>
      <c r="P868"/>
      <c r="Q868"/>
      <c r="R868"/>
      <c r="S868"/>
      <c r="T868"/>
      <c r="U868"/>
      <c r="V868"/>
      <c r="W868"/>
    </row>
    <row r="869" spans="1:23" ht="15" x14ac:dyDescent="0.25">
      <c r="A869"/>
      <c r="B869"/>
      <c r="C869"/>
      <c r="D869"/>
      <c r="E869"/>
      <c r="F869"/>
      <c r="G869"/>
      <c r="H869"/>
      <c r="I869"/>
      <c r="J869"/>
      <c r="K869"/>
      <c r="L869"/>
      <c r="M869"/>
      <c r="N869"/>
      <c r="O869"/>
      <c r="P869"/>
      <c r="Q869"/>
      <c r="R869"/>
      <c r="S869"/>
      <c r="T869"/>
      <c r="U869"/>
      <c r="V869"/>
      <c r="W869"/>
    </row>
    <row r="870" spans="1:23" ht="15" x14ac:dyDescent="0.25">
      <c r="A870"/>
      <c r="B870"/>
      <c r="C870"/>
      <c r="D870"/>
      <c r="E870"/>
      <c r="F870"/>
      <c r="G870"/>
      <c r="H870"/>
      <c r="I870"/>
      <c r="J870"/>
      <c r="K870"/>
      <c r="L870"/>
      <c r="M870"/>
      <c r="N870"/>
      <c r="O870"/>
      <c r="P870"/>
      <c r="Q870"/>
      <c r="R870"/>
      <c r="S870"/>
      <c r="T870"/>
      <c r="U870"/>
      <c r="V870"/>
      <c r="W870"/>
    </row>
    <row r="871" spans="1:23" ht="15" x14ac:dyDescent="0.25">
      <c r="A871"/>
      <c r="B871"/>
      <c r="C871"/>
      <c r="D871"/>
      <c r="E871"/>
      <c r="F871"/>
      <c r="G871"/>
      <c r="H871"/>
      <c r="I871"/>
      <c r="J871"/>
      <c r="K871"/>
      <c r="L871"/>
      <c r="M871"/>
      <c r="N871"/>
      <c r="O871"/>
      <c r="P871"/>
      <c r="Q871"/>
      <c r="R871"/>
      <c r="S871"/>
      <c r="T871"/>
      <c r="U871"/>
      <c r="V871"/>
      <c r="W871"/>
    </row>
    <row r="872" spans="1:23" ht="15" x14ac:dyDescent="0.25">
      <c r="A872"/>
      <c r="B872"/>
      <c r="C872"/>
      <c r="D872"/>
      <c r="E872"/>
      <c r="F872"/>
      <c r="G872"/>
      <c r="H872"/>
      <c r="I872"/>
      <c r="J872"/>
      <c r="K872"/>
      <c r="L872"/>
      <c r="M872"/>
      <c r="N872"/>
      <c r="O872"/>
      <c r="P872"/>
      <c r="Q872"/>
      <c r="R872"/>
      <c r="S872"/>
      <c r="T872"/>
      <c r="U872"/>
      <c r="V872"/>
      <c r="W872"/>
    </row>
    <row r="873" spans="1:23" ht="15" x14ac:dyDescent="0.25">
      <c r="A873"/>
      <c r="B873"/>
      <c r="C873"/>
      <c r="D873"/>
      <c r="E873"/>
      <c r="F873"/>
      <c r="G873"/>
      <c r="H873"/>
      <c r="I873"/>
      <c r="J873"/>
      <c r="K873"/>
      <c r="L873"/>
      <c r="M873"/>
      <c r="N873"/>
      <c r="O873"/>
      <c r="P873"/>
      <c r="Q873"/>
      <c r="R873"/>
      <c r="S873"/>
      <c r="T873"/>
      <c r="U873"/>
      <c r="V873"/>
      <c r="W873"/>
    </row>
    <row r="874" spans="1:23" ht="15" x14ac:dyDescent="0.25">
      <c r="A874"/>
      <c r="B874"/>
      <c r="C874"/>
      <c r="D874"/>
      <c r="E874"/>
      <c r="F874"/>
      <c r="G874"/>
      <c r="H874"/>
      <c r="I874"/>
      <c r="J874"/>
      <c r="K874"/>
      <c r="L874"/>
      <c r="M874"/>
      <c r="N874"/>
      <c r="O874"/>
      <c r="P874"/>
      <c r="Q874"/>
      <c r="R874"/>
      <c r="S874"/>
      <c r="T874"/>
      <c r="U874"/>
      <c r="V874"/>
      <c r="W874"/>
    </row>
    <row r="875" spans="1:23" ht="15" x14ac:dyDescent="0.25">
      <c r="A875"/>
      <c r="B875"/>
      <c r="C875"/>
      <c r="D875"/>
      <c r="E875"/>
      <c r="F875"/>
      <c r="G875"/>
      <c r="H875"/>
      <c r="I875"/>
      <c r="J875"/>
      <c r="K875"/>
      <c r="L875"/>
      <c r="M875"/>
      <c r="N875"/>
      <c r="O875"/>
      <c r="P875"/>
      <c r="Q875"/>
      <c r="R875"/>
      <c r="S875"/>
      <c r="T875"/>
      <c r="U875"/>
      <c r="V875"/>
      <c r="W875"/>
    </row>
    <row r="876" spans="1:23" ht="15" x14ac:dyDescent="0.25">
      <c r="A876"/>
      <c r="B876"/>
      <c r="C876"/>
      <c r="D876"/>
      <c r="E876"/>
      <c r="F876"/>
      <c r="G876"/>
      <c r="H876"/>
      <c r="I876"/>
      <c r="J876"/>
      <c r="K876"/>
      <c r="L876"/>
      <c r="M876"/>
      <c r="N876"/>
      <c r="O876"/>
      <c r="P876"/>
      <c r="Q876"/>
      <c r="R876"/>
      <c r="S876"/>
      <c r="T876"/>
      <c r="U876"/>
      <c r="V876"/>
      <c r="W876"/>
    </row>
    <row r="877" spans="1:23" ht="15" x14ac:dyDescent="0.25">
      <c r="A877"/>
      <c r="B877"/>
      <c r="C877"/>
      <c r="D877"/>
      <c r="E877"/>
      <c r="F877"/>
      <c r="G877"/>
      <c r="H877"/>
      <c r="I877"/>
      <c r="J877"/>
      <c r="K877"/>
      <c r="L877"/>
      <c r="M877"/>
      <c r="N877"/>
      <c r="O877"/>
      <c r="P877"/>
      <c r="Q877"/>
      <c r="R877"/>
      <c r="S877"/>
      <c r="T877"/>
      <c r="U877"/>
      <c r="V877"/>
      <c r="W877"/>
    </row>
    <row r="878" spans="1:23" ht="15" x14ac:dyDescent="0.25">
      <c r="A878"/>
      <c r="B878"/>
      <c r="C878"/>
      <c r="D878"/>
      <c r="E878"/>
      <c r="F878"/>
      <c r="G878"/>
      <c r="H878"/>
      <c r="I878"/>
      <c r="J878"/>
      <c r="K878"/>
      <c r="L878"/>
      <c r="M878"/>
      <c r="N878"/>
      <c r="O878"/>
      <c r="P878"/>
      <c r="Q878"/>
      <c r="R878"/>
      <c r="S878"/>
      <c r="T878"/>
      <c r="U878"/>
      <c r="V878"/>
      <c r="W878"/>
    </row>
    <row r="879" spans="1:23" ht="15" x14ac:dyDescent="0.25">
      <c r="A879"/>
      <c r="B879"/>
      <c r="C879"/>
      <c r="D879"/>
      <c r="E879"/>
      <c r="F879"/>
      <c r="G879"/>
      <c r="H879"/>
      <c r="I879"/>
      <c r="J879"/>
      <c r="K879"/>
      <c r="L879"/>
      <c r="M879"/>
      <c r="N879"/>
      <c r="O879"/>
      <c r="P879"/>
      <c r="Q879"/>
      <c r="R879"/>
      <c r="S879"/>
      <c r="T879"/>
      <c r="U879"/>
      <c r="V879"/>
      <c r="W879"/>
    </row>
    <row r="880" spans="1:23" ht="15" x14ac:dyDescent="0.25">
      <c r="A880"/>
      <c r="B880"/>
      <c r="C880"/>
      <c r="D880"/>
      <c r="E880"/>
      <c r="F880"/>
      <c r="G880"/>
      <c r="H880"/>
      <c r="I880"/>
      <c r="J880"/>
      <c r="K880"/>
      <c r="L880"/>
      <c r="M880"/>
      <c r="N880"/>
      <c r="O880"/>
      <c r="P880"/>
      <c r="Q880"/>
      <c r="R880"/>
      <c r="S880"/>
      <c r="T880"/>
      <c r="U880"/>
      <c r="V880"/>
      <c r="W880"/>
    </row>
    <row r="881" spans="1:23" ht="15" x14ac:dyDescent="0.25">
      <c r="A881"/>
      <c r="B881"/>
      <c r="C881"/>
      <c r="D881"/>
      <c r="E881"/>
      <c r="F881"/>
      <c r="G881"/>
      <c r="H881"/>
      <c r="I881"/>
      <c r="J881"/>
      <c r="K881"/>
      <c r="L881"/>
      <c r="M881"/>
      <c r="N881"/>
      <c r="O881"/>
      <c r="P881"/>
      <c r="Q881"/>
      <c r="R881"/>
      <c r="S881"/>
      <c r="T881"/>
      <c r="U881"/>
      <c r="V881"/>
      <c r="W881"/>
    </row>
    <row r="882" spans="1:23" ht="15" x14ac:dyDescent="0.25">
      <c r="A882"/>
      <c r="B882"/>
      <c r="C882"/>
      <c r="D882"/>
      <c r="E882"/>
      <c r="F882"/>
      <c r="G882"/>
      <c r="H882"/>
      <c r="I882"/>
      <c r="J882"/>
      <c r="K882"/>
      <c r="L882"/>
      <c r="M882"/>
      <c r="N882"/>
      <c r="O882"/>
      <c r="P882"/>
      <c r="Q882"/>
      <c r="R882"/>
      <c r="S882"/>
      <c r="T882"/>
      <c r="U882"/>
      <c r="V882"/>
      <c r="W882"/>
    </row>
    <row r="883" spans="1:23" ht="15" x14ac:dyDescent="0.25">
      <c r="A883"/>
      <c r="B883"/>
      <c r="C883"/>
      <c r="D883"/>
      <c r="E883"/>
      <c r="F883"/>
      <c r="G883"/>
      <c r="H883"/>
      <c r="I883"/>
      <c r="J883"/>
      <c r="K883"/>
      <c r="L883"/>
      <c r="M883"/>
      <c r="N883"/>
      <c r="O883"/>
      <c r="P883"/>
      <c r="Q883"/>
      <c r="R883"/>
      <c r="S883"/>
      <c r="T883"/>
      <c r="U883"/>
      <c r="V883"/>
      <c r="W883"/>
    </row>
    <row r="884" spans="1:23" ht="15" x14ac:dyDescent="0.25">
      <c r="A884"/>
      <c r="B884"/>
      <c r="C884"/>
      <c r="D884"/>
      <c r="E884"/>
      <c r="F884"/>
      <c r="G884"/>
      <c r="H884"/>
      <c r="I884"/>
      <c r="J884"/>
      <c r="K884"/>
      <c r="L884"/>
      <c r="M884"/>
      <c r="N884"/>
      <c r="O884"/>
      <c r="P884"/>
      <c r="Q884"/>
      <c r="R884"/>
      <c r="S884"/>
      <c r="T884"/>
      <c r="U884"/>
      <c r="V884"/>
      <c r="W884"/>
    </row>
    <row r="885" spans="1:23" ht="15" x14ac:dyDescent="0.25">
      <c r="A885"/>
      <c r="B885"/>
      <c r="C885"/>
      <c r="D885"/>
      <c r="E885"/>
      <c r="F885"/>
      <c r="G885"/>
      <c r="H885"/>
      <c r="I885"/>
      <c r="J885"/>
      <c r="K885"/>
      <c r="L885"/>
      <c r="M885"/>
      <c r="N885"/>
      <c r="O885"/>
      <c r="P885"/>
      <c r="Q885"/>
      <c r="R885"/>
      <c r="S885"/>
      <c r="T885"/>
      <c r="U885"/>
      <c r="V885"/>
      <c r="W885"/>
    </row>
    <row r="886" spans="1:23" ht="15" x14ac:dyDescent="0.25">
      <c r="A886"/>
      <c r="B886"/>
      <c r="C886"/>
      <c r="D886"/>
      <c r="E886"/>
      <c r="F886"/>
      <c r="G886"/>
      <c r="H886"/>
      <c r="I886"/>
      <c r="J886"/>
      <c r="K886"/>
      <c r="L886"/>
      <c r="M886"/>
      <c r="N886"/>
      <c r="O886"/>
      <c r="P886"/>
      <c r="Q886"/>
      <c r="R886"/>
      <c r="S886"/>
      <c r="T886"/>
      <c r="U886"/>
      <c r="V886"/>
      <c r="W886"/>
    </row>
    <row r="887" spans="1:23" ht="15" x14ac:dyDescent="0.25">
      <c r="A887"/>
      <c r="B887"/>
      <c r="C887"/>
      <c r="D887"/>
      <c r="E887"/>
      <c r="F887"/>
      <c r="G887"/>
      <c r="H887"/>
      <c r="I887"/>
      <c r="J887"/>
      <c r="K887"/>
      <c r="L887"/>
      <c r="M887"/>
      <c r="N887"/>
      <c r="O887"/>
      <c r="P887"/>
      <c r="Q887"/>
      <c r="R887"/>
      <c r="S887"/>
      <c r="T887"/>
      <c r="U887"/>
      <c r="V887"/>
      <c r="W887"/>
    </row>
    <row r="888" spans="1:23" ht="15" x14ac:dyDescent="0.25">
      <c r="A888"/>
      <c r="B888"/>
      <c r="C888"/>
      <c r="D888"/>
      <c r="E888"/>
      <c r="F888"/>
      <c r="G888"/>
      <c r="H888"/>
      <c r="I888"/>
      <c r="J888"/>
      <c r="K888"/>
      <c r="L888"/>
      <c r="M888"/>
      <c r="N888"/>
      <c r="O888"/>
      <c r="P888"/>
      <c r="Q888"/>
      <c r="R888"/>
      <c r="S888"/>
      <c r="T888"/>
      <c r="U888"/>
      <c r="V888"/>
      <c r="W888"/>
    </row>
    <row r="889" spans="1:23" ht="15" x14ac:dyDescent="0.25">
      <c r="A889"/>
      <c r="B889"/>
      <c r="C889"/>
      <c r="D889"/>
      <c r="E889"/>
      <c r="F889"/>
      <c r="G889"/>
      <c r="H889"/>
      <c r="I889"/>
      <c r="J889"/>
      <c r="K889"/>
      <c r="L889"/>
      <c r="M889"/>
      <c r="N889"/>
      <c r="O889"/>
      <c r="P889"/>
      <c r="Q889"/>
      <c r="R889"/>
      <c r="S889"/>
      <c r="T889"/>
      <c r="U889"/>
      <c r="V889"/>
      <c r="W889"/>
    </row>
    <row r="890" spans="1:23" ht="15" x14ac:dyDescent="0.25">
      <c r="A890"/>
      <c r="B890"/>
      <c r="C890"/>
      <c r="D890"/>
      <c r="E890"/>
      <c r="F890"/>
      <c r="G890"/>
      <c r="H890"/>
      <c r="I890"/>
      <c r="J890"/>
      <c r="K890"/>
      <c r="L890"/>
      <c r="M890"/>
      <c r="N890"/>
      <c r="O890"/>
      <c r="P890"/>
      <c r="Q890"/>
      <c r="R890"/>
      <c r="S890"/>
      <c r="T890"/>
      <c r="U890"/>
      <c r="V890"/>
      <c r="W890"/>
    </row>
    <row r="891" spans="1:23" ht="15" x14ac:dyDescent="0.25">
      <c r="A891"/>
      <c r="B891"/>
      <c r="C891"/>
      <c r="D891"/>
      <c r="E891"/>
      <c r="F891"/>
      <c r="G891"/>
      <c r="H891"/>
      <c r="I891"/>
      <c r="J891"/>
      <c r="K891"/>
      <c r="L891"/>
      <c r="M891"/>
      <c r="N891"/>
      <c r="O891"/>
      <c r="P891"/>
      <c r="Q891"/>
      <c r="R891"/>
      <c r="S891"/>
      <c r="T891"/>
      <c r="U891"/>
      <c r="V891"/>
      <c r="W891"/>
    </row>
    <row r="892" spans="1:23" ht="15" x14ac:dyDescent="0.25">
      <c r="A892"/>
      <c r="B892"/>
      <c r="C892"/>
      <c r="D892"/>
      <c r="E892"/>
      <c r="F892"/>
      <c r="G892"/>
      <c r="H892"/>
      <c r="I892"/>
      <c r="J892"/>
      <c r="K892"/>
      <c r="L892"/>
      <c r="M892"/>
      <c r="N892"/>
      <c r="O892"/>
      <c r="P892"/>
      <c r="Q892"/>
      <c r="R892"/>
      <c r="S892"/>
      <c r="T892"/>
      <c r="U892"/>
      <c r="V892"/>
      <c r="W892"/>
    </row>
    <row r="893" spans="1:23" ht="15" x14ac:dyDescent="0.25">
      <c r="A893"/>
      <c r="B893"/>
      <c r="C893"/>
      <c r="D893"/>
      <c r="E893"/>
      <c r="F893"/>
      <c r="G893"/>
      <c r="H893"/>
      <c r="I893"/>
      <c r="J893"/>
      <c r="K893"/>
      <c r="L893"/>
      <c r="M893"/>
      <c r="N893"/>
      <c r="O893"/>
      <c r="P893"/>
      <c r="Q893"/>
      <c r="R893"/>
      <c r="S893"/>
      <c r="T893"/>
      <c r="U893"/>
      <c r="V893"/>
      <c r="W893"/>
    </row>
    <row r="894" spans="1:23" ht="15" x14ac:dyDescent="0.25">
      <c r="A894"/>
      <c r="B894"/>
      <c r="C894"/>
      <c r="D894"/>
      <c r="E894"/>
      <c r="F894"/>
      <c r="G894"/>
      <c r="H894"/>
      <c r="I894"/>
      <c r="J894"/>
      <c r="K894"/>
      <c r="L894"/>
      <c r="M894"/>
      <c r="N894"/>
      <c r="O894"/>
      <c r="P894"/>
      <c r="Q894"/>
      <c r="R894"/>
      <c r="S894"/>
      <c r="T894"/>
      <c r="U894"/>
      <c r="V894"/>
      <c r="W894"/>
    </row>
    <row r="895" spans="1:23" ht="15" x14ac:dyDescent="0.25">
      <c r="A895"/>
      <c r="B895"/>
      <c r="C895"/>
      <c r="D895"/>
      <c r="E895"/>
      <c r="F895"/>
      <c r="G895"/>
      <c r="H895"/>
      <c r="I895"/>
      <c r="J895"/>
      <c r="K895"/>
      <c r="L895"/>
      <c r="M895"/>
      <c r="N895"/>
      <c r="O895"/>
      <c r="P895"/>
      <c r="Q895"/>
      <c r="R895"/>
      <c r="S895"/>
      <c r="T895"/>
      <c r="U895"/>
      <c r="V895"/>
      <c r="W895"/>
    </row>
    <row r="896" spans="1:23" ht="15" x14ac:dyDescent="0.25">
      <c r="A896"/>
      <c r="B896"/>
      <c r="C896"/>
      <c r="D896"/>
      <c r="E896"/>
      <c r="F896"/>
      <c r="G896"/>
      <c r="H896"/>
      <c r="I896"/>
      <c r="J896"/>
      <c r="K896"/>
      <c r="L896"/>
      <c r="M896"/>
      <c r="N896"/>
      <c r="O896"/>
      <c r="P896"/>
      <c r="Q896"/>
      <c r="R896"/>
      <c r="S896"/>
      <c r="T896"/>
      <c r="U896"/>
      <c r="V896"/>
      <c r="W896"/>
    </row>
    <row r="897" spans="1:23" ht="15" x14ac:dyDescent="0.25">
      <c r="A897"/>
      <c r="B897"/>
      <c r="C897"/>
      <c r="D897"/>
      <c r="E897"/>
      <c r="F897"/>
      <c r="G897"/>
      <c r="H897"/>
      <c r="I897"/>
      <c r="J897"/>
      <c r="K897"/>
      <c r="L897"/>
      <c r="M897"/>
      <c r="N897"/>
      <c r="O897"/>
      <c r="P897"/>
      <c r="Q897"/>
      <c r="R897"/>
      <c r="S897"/>
      <c r="T897"/>
      <c r="U897"/>
      <c r="V897"/>
      <c r="W897"/>
    </row>
    <row r="898" spans="1:23" ht="15" x14ac:dyDescent="0.25">
      <c r="A898"/>
      <c r="B898"/>
      <c r="C898"/>
      <c r="D898"/>
      <c r="E898"/>
      <c r="F898"/>
      <c r="G898"/>
      <c r="H898"/>
      <c r="I898"/>
      <c r="J898"/>
      <c r="K898"/>
      <c r="L898"/>
      <c r="M898"/>
      <c r="N898"/>
      <c r="O898"/>
      <c r="P898"/>
      <c r="Q898"/>
      <c r="R898"/>
      <c r="S898"/>
      <c r="T898"/>
      <c r="U898"/>
      <c r="V898"/>
      <c r="W898"/>
    </row>
    <row r="899" spans="1:23" ht="15" x14ac:dyDescent="0.25">
      <c r="A899"/>
      <c r="B899"/>
      <c r="C899"/>
      <c r="D899"/>
      <c r="E899"/>
      <c r="F899"/>
      <c r="G899"/>
      <c r="H899"/>
      <c r="I899"/>
      <c r="J899"/>
      <c r="K899"/>
      <c r="L899"/>
      <c r="M899"/>
      <c r="N899"/>
      <c r="O899"/>
      <c r="P899"/>
      <c r="Q899"/>
      <c r="R899"/>
      <c r="S899"/>
      <c r="T899"/>
      <c r="U899"/>
      <c r="V899"/>
      <c r="W899"/>
    </row>
    <row r="900" spans="1:23" ht="15" x14ac:dyDescent="0.25">
      <c r="A900"/>
      <c r="B900"/>
      <c r="C900"/>
      <c r="D900"/>
      <c r="E900"/>
      <c r="F900"/>
      <c r="G900"/>
      <c r="H900"/>
      <c r="I900"/>
      <c r="J900"/>
      <c r="K900"/>
      <c r="L900"/>
      <c r="M900"/>
      <c r="N900"/>
      <c r="O900"/>
      <c r="P900"/>
      <c r="Q900"/>
      <c r="R900"/>
      <c r="S900"/>
      <c r="T900"/>
      <c r="U900"/>
      <c r="V900"/>
      <c r="W900"/>
    </row>
    <row r="901" spans="1:23" ht="15" x14ac:dyDescent="0.25">
      <c r="A901"/>
      <c r="B901"/>
      <c r="C901"/>
      <c r="D901"/>
      <c r="E901"/>
      <c r="F901"/>
      <c r="G901"/>
      <c r="H901"/>
      <c r="I901"/>
      <c r="J901"/>
      <c r="K901"/>
      <c r="L901"/>
      <c r="M901"/>
      <c r="N901"/>
      <c r="O901"/>
      <c r="P901"/>
      <c r="Q901"/>
      <c r="R901"/>
      <c r="S901"/>
      <c r="T901"/>
      <c r="U901"/>
      <c r="V901"/>
      <c r="W901"/>
    </row>
    <row r="902" spans="1:23" ht="15" x14ac:dyDescent="0.25">
      <c r="A902"/>
      <c r="B902"/>
      <c r="C902"/>
      <c r="D902"/>
      <c r="E902"/>
      <c r="F902"/>
      <c r="G902"/>
      <c r="H902"/>
      <c r="I902"/>
      <c r="J902"/>
      <c r="K902"/>
      <c r="L902"/>
      <c r="M902"/>
      <c r="N902"/>
      <c r="O902"/>
      <c r="P902"/>
      <c r="Q902"/>
      <c r="R902"/>
      <c r="S902"/>
      <c r="T902"/>
      <c r="U902"/>
      <c r="V902"/>
      <c r="W902"/>
    </row>
    <row r="903" spans="1:23" ht="15" x14ac:dyDescent="0.25">
      <c r="A903"/>
      <c r="B903"/>
      <c r="C903"/>
      <c r="D903"/>
      <c r="E903"/>
      <c r="F903"/>
      <c r="G903"/>
      <c r="H903"/>
      <c r="I903"/>
      <c r="J903"/>
      <c r="K903"/>
      <c r="L903"/>
      <c r="M903"/>
      <c r="N903"/>
      <c r="O903"/>
      <c r="P903"/>
      <c r="Q903"/>
      <c r="R903"/>
      <c r="S903"/>
      <c r="T903"/>
      <c r="U903"/>
      <c r="V903"/>
      <c r="W903"/>
    </row>
    <row r="904" spans="1:23" ht="15" x14ac:dyDescent="0.25">
      <c r="A904"/>
      <c r="B904"/>
      <c r="C904"/>
      <c r="D904"/>
      <c r="E904"/>
      <c r="F904"/>
      <c r="G904"/>
      <c r="H904"/>
      <c r="I904"/>
      <c r="J904"/>
      <c r="K904"/>
      <c r="L904"/>
      <c r="M904"/>
      <c r="N904"/>
      <c r="O904"/>
      <c r="P904"/>
      <c r="Q904"/>
      <c r="R904"/>
      <c r="S904"/>
      <c r="T904"/>
      <c r="U904"/>
      <c r="V904"/>
      <c r="W904"/>
    </row>
    <row r="905" spans="1:23" ht="15" x14ac:dyDescent="0.25">
      <c r="A905"/>
      <c r="B905"/>
      <c r="C905"/>
      <c r="D905"/>
      <c r="E905"/>
      <c r="F905"/>
      <c r="G905"/>
      <c r="H905"/>
      <c r="I905"/>
      <c r="J905"/>
      <c r="K905"/>
      <c r="L905"/>
      <c r="M905"/>
      <c r="N905"/>
      <c r="O905"/>
      <c r="P905"/>
      <c r="Q905"/>
      <c r="R905"/>
      <c r="S905"/>
      <c r="T905"/>
      <c r="U905"/>
      <c r="V905"/>
      <c r="W905"/>
    </row>
    <row r="906" spans="1:23" ht="15" x14ac:dyDescent="0.25">
      <c r="A906"/>
      <c r="B906"/>
      <c r="C906"/>
      <c r="D906"/>
      <c r="E906"/>
      <c r="F906"/>
      <c r="G906"/>
      <c r="H906"/>
      <c r="I906"/>
      <c r="J906"/>
      <c r="K906"/>
      <c r="L906"/>
      <c r="M906"/>
      <c r="N906"/>
      <c r="O906"/>
      <c r="P906"/>
      <c r="Q906"/>
      <c r="R906"/>
      <c r="S906"/>
      <c r="T906"/>
      <c r="U906"/>
      <c r="V906"/>
      <c r="W906"/>
    </row>
    <row r="907" spans="1:23" ht="15" x14ac:dyDescent="0.25">
      <c r="A907"/>
      <c r="B907"/>
      <c r="C907"/>
      <c r="D907"/>
      <c r="E907"/>
      <c r="F907"/>
      <c r="G907"/>
      <c r="H907"/>
      <c r="I907"/>
      <c r="J907"/>
      <c r="K907"/>
      <c r="L907"/>
      <c r="M907"/>
      <c r="N907"/>
      <c r="O907"/>
      <c r="P907"/>
      <c r="Q907"/>
      <c r="R907"/>
      <c r="S907"/>
      <c r="T907"/>
      <c r="U907"/>
      <c r="V907"/>
      <c r="W907"/>
    </row>
    <row r="908" spans="1:23" ht="15" x14ac:dyDescent="0.25">
      <c r="A908"/>
      <c r="B908"/>
      <c r="C908"/>
      <c r="D908"/>
      <c r="E908"/>
      <c r="F908"/>
      <c r="G908"/>
      <c r="H908"/>
      <c r="I908"/>
      <c r="J908"/>
      <c r="K908"/>
      <c r="L908"/>
      <c r="M908"/>
      <c r="N908"/>
      <c r="O908"/>
      <c r="P908"/>
      <c r="Q908"/>
      <c r="R908"/>
      <c r="S908"/>
      <c r="T908"/>
      <c r="U908"/>
      <c r="V908"/>
      <c r="W908"/>
    </row>
    <row r="909" spans="1:23" ht="15" x14ac:dyDescent="0.25">
      <c r="A909"/>
      <c r="B909"/>
      <c r="C909"/>
      <c r="D909"/>
      <c r="E909"/>
      <c r="F909"/>
      <c r="G909"/>
      <c r="H909"/>
      <c r="I909"/>
      <c r="J909"/>
      <c r="K909"/>
      <c r="L909"/>
      <c r="M909"/>
      <c r="N909"/>
      <c r="O909"/>
      <c r="P909"/>
      <c r="Q909"/>
      <c r="R909"/>
      <c r="S909"/>
      <c r="T909"/>
      <c r="U909"/>
      <c r="V909"/>
      <c r="W909"/>
    </row>
    <row r="910" spans="1:23" ht="15" x14ac:dyDescent="0.25">
      <c r="A910"/>
      <c r="B910"/>
      <c r="C910"/>
      <c r="D910"/>
      <c r="E910"/>
      <c r="F910"/>
      <c r="G910"/>
      <c r="H910"/>
      <c r="I910"/>
      <c r="J910"/>
      <c r="K910"/>
      <c r="L910"/>
      <c r="M910"/>
      <c r="N910"/>
      <c r="O910"/>
      <c r="P910"/>
      <c r="Q910"/>
      <c r="R910"/>
      <c r="S910"/>
      <c r="T910"/>
      <c r="U910"/>
      <c r="V910"/>
      <c r="W910"/>
    </row>
    <row r="911" spans="1:23" ht="15" x14ac:dyDescent="0.25">
      <c r="A911"/>
      <c r="B911"/>
      <c r="C911"/>
      <c r="D911"/>
      <c r="E911"/>
      <c r="F911"/>
      <c r="G911"/>
      <c r="H911"/>
      <c r="I911"/>
      <c r="J911"/>
      <c r="K911"/>
      <c r="L911"/>
      <c r="M911"/>
      <c r="N911"/>
      <c r="O911"/>
      <c r="P911"/>
      <c r="Q911"/>
      <c r="R911"/>
      <c r="S911"/>
      <c r="T911"/>
      <c r="U911"/>
      <c r="V911"/>
      <c r="W911"/>
    </row>
    <row r="912" spans="1:23" ht="15" x14ac:dyDescent="0.25">
      <c r="A912"/>
      <c r="B912"/>
      <c r="C912"/>
      <c r="D912"/>
      <c r="E912"/>
      <c r="F912"/>
      <c r="G912"/>
      <c r="H912"/>
      <c r="I912"/>
      <c r="J912"/>
      <c r="K912"/>
      <c r="L912"/>
      <c r="M912"/>
      <c r="N912"/>
      <c r="O912"/>
      <c r="P912"/>
      <c r="Q912"/>
      <c r="R912"/>
      <c r="S912"/>
      <c r="T912"/>
      <c r="U912"/>
      <c r="V912"/>
      <c r="W912"/>
    </row>
    <row r="913" spans="1:23" ht="15" x14ac:dyDescent="0.25">
      <c r="A913"/>
      <c r="B913"/>
      <c r="C913"/>
      <c r="D913"/>
      <c r="E913"/>
      <c r="F913"/>
      <c r="G913"/>
      <c r="H913"/>
      <c r="I913"/>
      <c r="J913"/>
      <c r="K913"/>
      <c r="L913"/>
      <c r="M913"/>
      <c r="N913"/>
      <c r="O913"/>
      <c r="P913"/>
      <c r="Q913"/>
      <c r="R913"/>
      <c r="S913"/>
      <c r="T913"/>
      <c r="U913"/>
      <c r="V913"/>
      <c r="W913"/>
    </row>
    <row r="914" spans="1:23" ht="15" x14ac:dyDescent="0.25">
      <c r="A914"/>
      <c r="B914"/>
      <c r="C914"/>
      <c r="D914"/>
      <c r="E914"/>
      <c r="F914"/>
      <c r="G914"/>
      <c r="H914"/>
      <c r="I914"/>
      <c r="J914"/>
      <c r="K914"/>
      <c r="L914"/>
      <c r="M914"/>
      <c r="N914"/>
      <c r="O914"/>
      <c r="P914"/>
      <c r="Q914"/>
      <c r="R914"/>
      <c r="S914"/>
      <c r="T914"/>
      <c r="U914"/>
      <c r="V914"/>
      <c r="W914"/>
    </row>
    <row r="915" spans="1:23" ht="15" x14ac:dyDescent="0.25">
      <c r="A915"/>
      <c r="B915"/>
      <c r="C915"/>
      <c r="D915"/>
      <c r="E915"/>
      <c r="F915"/>
      <c r="G915"/>
      <c r="H915"/>
      <c r="I915"/>
      <c r="J915"/>
      <c r="K915"/>
      <c r="L915"/>
      <c r="M915"/>
      <c r="N915"/>
      <c r="O915"/>
      <c r="P915"/>
      <c r="Q915"/>
      <c r="R915"/>
      <c r="S915"/>
      <c r="T915"/>
      <c r="U915"/>
      <c r="V915"/>
      <c r="W915"/>
    </row>
    <row r="916" spans="1:23" ht="15" x14ac:dyDescent="0.25">
      <c r="A916"/>
      <c r="B916"/>
      <c r="C916"/>
      <c r="D916"/>
      <c r="E916"/>
      <c r="F916"/>
      <c r="G916"/>
      <c r="H916"/>
      <c r="I916"/>
      <c r="J916"/>
      <c r="K916"/>
      <c r="L916"/>
      <c r="M916"/>
      <c r="N916"/>
      <c r="O916"/>
      <c r="P916"/>
      <c r="Q916"/>
      <c r="R916"/>
      <c r="S916"/>
      <c r="T916"/>
      <c r="U916"/>
      <c r="V916"/>
      <c r="W916"/>
    </row>
    <row r="917" spans="1:23" ht="15" x14ac:dyDescent="0.25">
      <c r="A917"/>
      <c r="B917"/>
      <c r="C917"/>
      <c r="D917"/>
      <c r="E917"/>
      <c r="F917"/>
      <c r="G917"/>
      <c r="H917"/>
      <c r="I917"/>
      <c r="J917"/>
      <c r="K917"/>
      <c r="L917"/>
      <c r="M917"/>
      <c r="N917"/>
      <c r="O917"/>
      <c r="P917"/>
      <c r="Q917"/>
      <c r="R917"/>
      <c r="S917"/>
      <c r="T917"/>
      <c r="U917"/>
      <c r="V917"/>
      <c r="W917"/>
    </row>
    <row r="918" spans="1:23" ht="15" x14ac:dyDescent="0.25">
      <c r="A918"/>
      <c r="B918"/>
      <c r="C918"/>
      <c r="D918"/>
      <c r="E918"/>
      <c r="F918"/>
      <c r="G918"/>
      <c r="H918"/>
      <c r="I918"/>
      <c r="J918"/>
      <c r="K918"/>
      <c r="L918"/>
      <c r="M918"/>
      <c r="N918"/>
      <c r="O918"/>
      <c r="P918"/>
      <c r="Q918"/>
      <c r="R918"/>
      <c r="S918"/>
      <c r="T918"/>
      <c r="U918"/>
      <c r="V918"/>
      <c r="W918"/>
    </row>
    <row r="919" spans="1:23" ht="15" x14ac:dyDescent="0.25">
      <c r="A919"/>
      <c r="B919"/>
      <c r="C919"/>
      <c r="D919"/>
      <c r="E919"/>
      <c r="F919"/>
      <c r="G919"/>
      <c r="H919"/>
      <c r="I919"/>
      <c r="J919"/>
      <c r="K919"/>
      <c r="L919"/>
      <c r="M919"/>
      <c r="N919"/>
      <c r="O919"/>
      <c r="P919"/>
      <c r="Q919"/>
      <c r="R919"/>
      <c r="S919"/>
      <c r="T919"/>
      <c r="U919"/>
      <c r="V919"/>
      <c r="W919"/>
    </row>
    <row r="920" spans="1:23" ht="15" x14ac:dyDescent="0.25">
      <c r="A920"/>
      <c r="B920"/>
      <c r="C920"/>
      <c r="D920"/>
      <c r="E920"/>
      <c r="F920"/>
      <c r="G920"/>
      <c r="H920"/>
      <c r="I920"/>
      <c r="J920"/>
      <c r="K920"/>
      <c r="L920"/>
      <c r="M920"/>
      <c r="N920"/>
      <c r="O920"/>
      <c r="P920"/>
      <c r="Q920"/>
      <c r="R920"/>
      <c r="S920"/>
      <c r="T920"/>
      <c r="U920"/>
      <c r="V920"/>
      <c r="W920"/>
    </row>
    <row r="921" spans="1:23" ht="15" x14ac:dyDescent="0.25">
      <c r="A921"/>
      <c r="B921"/>
      <c r="C921"/>
      <c r="D921"/>
      <c r="E921"/>
      <c r="F921"/>
      <c r="G921"/>
      <c r="H921"/>
      <c r="I921"/>
      <c r="J921"/>
      <c r="K921"/>
      <c r="L921"/>
      <c r="M921"/>
      <c r="N921"/>
      <c r="O921"/>
      <c r="P921"/>
      <c r="Q921"/>
      <c r="R921"/>
      <c r="S921"/>
      <c r="T921"/>
      <c r="U921"/>
      <c r="V921"/>
      <c r="W921"/>
    </row>
    <row r="922" spans="1:23" ht="15" x14ac:dyDescent="0.25">
      <c r="A922"/>
      <c r="B922"/>
      <c r="C922"/>
      <c r="D922"/>
      <c r="E922"/>
      <c r="F922"/>
      <c r="G922"/>
      <c r="H922"/>
      <c r="I922"/>
      <c r="J922"/>
      <c r="K922"/>
      <c r="L922"/>
      <c r="M922"/>
      <c r="N922"/>
      <c r="O922"/>
      <c r="P922"/>
      <c r="Q922"/>
      <c r="R922"/>
      <c r="S922"/>
      <c r="T922"/>
      <c r="U922"/>
      <c r="V922"/>
      <c r="W922"/>
    </row>
    <row r="923" spans="1:23" ht="15" x14ac:dyDescent="0.25">
      <c r="A923"/>
      <c r="B923"/>
      <c r="C923"/>
      <c r="D923"/>
      <c r="E923"/>
      <c r="F923"/>
      <c r="G923"/>
      <c r="H923"/>
      <c r="I923"/>
      <c r="J923"/>
      <c r="K923"/>
      <c r="L923"/>
      <c r="M923"/>
      <c r="N923"/>
      <c r="O923"/>
      <c r="P923"/>
      <c r="Q923"/>
      <c r="R923"/>
      <c r="S923"/>
      <c r="T923"/>
      <c r="U923"/>
      <c r="V923"/>
      <c r="W923"/>
    </row>
    <row r="924" spans="1:23" ht="15" x14ac:dyDescent="0.25">
      <c r="A924"/>
      <c r="B924"/>
      <c r="C924"/>
      <c r="D924"/>
      <c r="E924"/>
      <c r="F924"/>
      <c r="G924"/>
      <c r="H924"/>
      <c r="I924"/>
      <c r="J924"/>
      <c r="K924"/>
      <c r="L924"/>
      <c r="M924"/>
      <c r="N924"/>
      <c r="O924"/>
      <c r="P924"/>
      <c r="Q924"/>
      <c r="R924"/>
      <c r="S924"/>
      <c r="T924"/>
      <c r="U924"/>
      <c r="V924"/>
      <c r="W924"/>
    </row>
    <row r="925" spans="1:23" ht="15" x14ac:dyDescent="0.25">
      <c r="A925"/>
      <c r="B925"/>
      <c r="C925"/>
      <c r="D925"/>
      <c r="E925"/>
      <c r="F925"/>
      <c r="G925"/>
      <c r="H925"/>
      <c r="I925"/>
      <c r="J925"/>
      <c r="K925"/>
      <c r="L925"/>
      <c r="M925"/>
      <c r="N925"/>
      <c r="O925"/>
      <c r="P925"/>
      <c r="Q925"/>
      <c r="R925"/>
      <c r="S925"/>
      <c r="T925"/>
      <c r="U925"/>
      <c r="V925"/>
      <c r="W925"/>
    </row>
    <row r="926" spans="1:23" ht="15" x14ac:dyDescent="0.25">
      <c r="A926"/>
      <c r="B926"/>
      <c r="C926"/>
      <c r="D926"/>
      <c r="E926"/>
      <c r="F926"/>
      <c r="G926"/>
      <c r="H926"/>
      <c r="I926"/>
      <c r="J926"/>
      <c r="K926"/>
      <c r="L926"/>
      <c r="M926"/>
      <c r="N926"/>
      <c r="O926"/>
      <c r="P926"/>
      <c r="Q926"/>
      <c r="R926"/>
      <c r="S926"/>
      <c r="T926"/>
      <c r="U926"/>
      <c r="V926"/>
      <c r="W926"/>
    </row>
    <row r="927" spans="1:23" ht="15" x14ac:dyDescent="0.25">
      <c r="A927"/>
      <c r="B927"/>
      <c r="C927"/>
      <c r="D927"/>
      <c r="E927"/>
      <c r="F927"/>
      <c r="G927"/>
      <c r="H927"/>
      <c r="I927"/>
      <c r="J927"/>
      <c r="K927"/>
      <c r="L927"/>
      <c r="M927"/>
      <c r="N927"/>
      <c r="O927"/>
      <c r="P927"/>
      <c r="Q927"/>
      <c r="R927"/>
      <c r="S927"/>
      <c r="T927"/>
      <c r="U927"/>
      <c r="V927"/>
      <c r="W927"/>
    </row>
    <row r="928" spans="1:23" ht="15" x14ac:dyDescent="0.25">
      <c r="A928"/>
      <c r="B928"/>
      <c r="C928"/>
      <c r="D928"/>
      <c r="E928"/>
      <c r="F928"/>
      <c r="G928"/>
      <c r="H928"/>
      <c r="I928"/>
      <c r="J928"/>
      <c r="K928"/>
      <c r="L928"/>
      <c r="M928"/>
      <c r="N928"/>
      <c r="O928"/>
      <c r="P928"/>
      <c r="Q928"/>
      <c r="R928"/>
      <c r="S928"/>
      <c r="T928"/>
      <c r="U928"/>
      <c r="V928"/>
      <c r="W928"/>
    </row>
    <row r="929" spans="1:23" ht="15" x14ac:dyDescent="0.25">
      <c r="A929"/>
      <c r="B929"/>
      <c r="C929"/>
      <c r="D929"/>
      <c r="E929"/>
      <c r="F929"/>
      <c r="G929"/>
      <c r="H929"/>
      <c r="I929"/>
      <c r="J929"/>
      <c r="K929"/>
      <c r="L929"/>
      <c r="M929"/>
      <c r="N929"/>
      <c r="O929"/>
      <c r="P929"/>
      <c r="Q929"/>
      <c r="R929"/>
      <c r="S929"/>
      <c r="T929"/>
      <c r="U929"/>
      <c r="V929"/>
      <c r="W929"/>
    </row>
    <row r="930" spans="1:23" ht="15" x14ac:dyDescent="0.25">
      <c r="A930"/>
      <c r="B930"/>
      <c r="C930"/>
      <c r="D930"/>
      <c r="E930"/>
      <c r="F930"/>
      <c r="G930"/>
      <c r="H930"/>
      <c r="I930"/>
      <c r="J930"/>
      <c r="K930"/>
      <c r="L930"/>
      <c r="M930"/>
      <c r="N930"/>
      <c r="O930"/>
      <c r="P930"/>
      <c r="Q930"/>
      <c r="R930"/>
      <c r="S930"/>
      <c r="T930"/>
      <c r="U930"/>
      <c r="V930"/>
      <c r="W930"/>
    </row>
    <row r="931" spans="1:23" ht="15" x14ac:dyDescent="0.25">
      <c r="A931"/>
      <c r="B931"/>
      <c r="C931"/>
      <c r="D931"/>
      <c r="E931"/>
      <c r="F931"/>
      <c r="G931"/>
      <c r="H931"/>
      <c r="I931"/>
      <c r="J931"/>
      <c r="K931"/>
      <c r="L931"/>
      <c r="M931"/>
      <c r="N931"/>
      <c r="O931"/>
      <c r="P931"/>
      <c r="Q931"/>
      <c r="R931"/>
      <c r="S931"/>
      <c r="T931"/>
      <c r="U931"/>
      <c r="V931"/>
      <c r="W931"/>
    </row>
    <row r="932" spans="1:23" ht="15" x14ac:dyDescent="0.25">
      <c r="A932"/>
      <c r="B932"/>
      <c r="C932"/>
      <c r="D932"/>
      <c r="E932"/>
      <c r="F932"/>
      <c r="G932"/>
      <c r="H932"/>
      <c r="I932"/>
      <c r="J932"/>
      <c r="K932"/>
      <c r="L932"/>
      <c r="M932"/>
      <c r="N932"/>
      <c r="O932"/>
      <c r="P932"/>
      <c r="Q932"/>
      <c r="R932"/>
      <c r="S932"/>
      <c r="T932"/>
      <c r="U932"/>
      <c r="V932"/>
      <c r="W932"/>
    </row>
    <row r="933" spans="1:23" ht="15" x14ac:dyDescent="0.25">
      <c r="A933"/>
      <c r="B933"/>
      <c r="C933"/>
      <c r="D933"/>
      <c r="E933"/>
      <c r="F933"/>
      <c r="G933"/>
      <c r="H933"/>
      <c r="I933"/>
      <c r="J933"/>
      <c r="K933"/>
      <c r="L933"/>
      <c r="M933"/>
      <c r="N933"/>
      <c r="O933"/>
      <c r="P933"/>
      <c r="Q933"/>
      <c r="R933"/>
      <c r="S933"/>
      <c r="T933"/>
      <c r="U933"/>
      <c r="V933"/>
      <c r="W933"/>
    </row>
    <row r="934" spans="1:23" ht="15" x14ac:dyDescent="0.25">
      <c r="A934"/>
      <c r="B934"/>
      <c r="C934"/>
      <c r="D934"/>
      <c r="E934"/>
      <c r="F934"/>
      <c r="G934"/>
      <c r="H934"/>
      <c r="I934"/>
      <c r="J934"/>
      <c r="K934"/>
      <c r="L934"/>
      <c r="M934"/>
      <c r="N934"/>
      <c r="O934"/>
      <c r="P934"/>
      <c r="Q934"/>
      <c r="R934"/>
      <c r="S934"/>
      <c r="T934"/>
      <c r="U934"/>
      <c r="V934"/>
      <c r="W934"/>
    </row>
    <row r="935" spans="1:23" ht="15" x14ac:dyDescent="0.25">
      <c r="A935"/>
      <c r="B935"/>
      <c r="C935"/>
      <c r="D935"/>
      <c r="E935"/>
      <c r="F935"/>
      <c r="G935"/>
      <c r="H935"/>
      <c r="I935"/>
      <c r="J935"/>
      <c r="K935"/>
      <c r="L935"/>
      <c r="M935"/>
      <c r="N935"/>
      <c r="O935"/>
      <c r="P935"/>
      <c r="Q935"/>
      <c r="R935"/>
      <c r="S935"/>
      <c r="T935"/>
      <c r="U935"/>
      <c r="V935"/>
      <c r="W935"/>
    </row>
    <row r="936" spans="1:23" ht="15" x14ac:dyDescent="0.25">
      <c r="A936"/>
      <c r="B936"/>
      <c r="C936"/>
      <c r="D936"/>
      <c r="E936"/>
      <c r="F936"/>
      <c r="G936"/>
      <c r="H936"/>
      <c r="I936"/>
      <c r="J936"/>
      <c r="K936"/>
      <c r="L936"/>
      <c r="M936"/>
      <c r="N936"/>
      <c r="O936"/>
      <c r="P936"/>
      <c r="Q936"/>
      <c r="R936"/>
      <c r="S936"/>
      <c r="T936"/>
      <c r="U936"/>
      <c r="V936"/>
      <c r="W936"/>
    </row>
    <row r="937" spans="1:23" ht="15" x14ac:dyDescent="0.25">
      <c r="A937"/>
      <c r="B937"/>
      <c r="C937"/>
      <c r="D937"/>
      <c r="E937"/>
      <c r="F937"/>
      <c r="G937"/>
      <c r="H937"/>
      <c r="I937"/>
      <c r="J937"/>
      <c r="K937"/>
      <c r="L937"/>
      <c r="M937"/>
      <c r="N937"/>
      <c r="O937"/>
      <c r="P937"/>
      <c r="Q937"/>
      <c r="R937"/>
      <c r="S937"/>
      <c r="T937"/>
      <c r="U937"/>
      <c r="V937"/>
      <c r="W937"/>
    </row>
    <row r="938" spans="1:23" ht="15" x14ac:dyDescent="0.25">
      <c r="A938"/>
      <c r="B938"/>
      <c r="C938"/>
      <c r="D938"/>
      <c r="E938"/>
      <c r="F938"/>
      <c r="G938"/>
      <c r="H938"/>
      <c r="I938"/>
      <c r="J938"/>
      <c r="K938"/>
      <c r="L938"/>
      <c r="M938"/>
      <c r="N938"/>
      <c r="O938"/>
      <c r="P938"/>
      <c r="Q938"/>
      <c r="R938"/>
      <c r="S938"/>
      <c r="T938"/>
      <c r="U938"/>
      <c r="V938"/>
      <c r="W938"/>
    </row>
    <row r="939" spans="1:23" ht="15" x14ac:dyDescent="0.25">
      <c r="A939"/>
      <c r="B939"/>
      <c r="C939"/>
      <c r="D939"/>
      <c r="E939"/>
      <c r="F939"/>
      <c r="G939"/>
      <c r="H939"/>
      <c r="I939"/>
      <c r="J939"/>
      <c r="K939"/>
      <c r="L939"/>
      <c r="M939"/>
      <c r="N939"/>
      <c r="O939"/>
      <c r="P939"/>
      <c r="Q939"/>
      <c r="R939"/>
      <c r="S939"/>
      <c r="T939"/>
      <c r="U939"/>
      <c r="V939"/>
      <c r="W939"/>
    </row>
    <row r="940" spans="1:23" ht="15" x14ac:dyDescent="0.25">
      <c r="A940"/>
      <c r="B940"/>
      <c r="C940"/>
      <c r="D940"/>
      <c r="E940"/>
      <c r="F940"/>
      <c r="G940"/>
      <c r="H940"/>
      <c r="I940"/>
      <c r="J940"/>
      <c r="K940"/>
      <c r="L940"/>
      <c r="M940"/>
      <c r="N940"/>
      <c r="O940"/>
      <c r="P940"/>
      <c r="Q940"/>
      <c r="R940"/>
      <c r="S940"/>
      <c r="T940"/>
      <c r="U940"/>
      <c r="V940"/>
      <c r="W940"/>
    </row>
    <row r="941" spans="1:23" ht="15" x14ac:dyDescent="0.25">
      <c r="A941"/>
      <c r="B941"/>
      <c r="C941"/>
      <c r="D941"/>
      <c r="E941"/>
      <c r="F941"/>
      <c r="G941"/>
      <c r="H941"/>
      <c r="I941"/>
      <c r="J941"/>
      <c r="K941"/>
      <c r="L941"/>
      <c r="M941"/>
      <c r="N941"/>
      <c r="O941"/>
      <c r="P941"/>
      <c r="Q941"/>
      <c r="R941"/>
      <c r="S941"/>
      <c r="T941"/>
      <c r="U941"/>
      <c r="V941"/>
      <c r="W941"/>
    </row>
    <row r="942" spans="1:23" ht="15" x14ac:dyDescent="0.25">
      <c r="A942"/>
      <c r="B942"/>
      <c r="C942"/>
      <c r="D942"/>
      <c r="E942"/>
      <c r="F942"/>
      <c r="G942"/>
      <c r="H942"/>
      <c r="I942"/>
      <c r="J942"/>
      <c r="K942"/>
      <c r="L942"/>
      <c r="M942"/>
      <c r="N942"/>
      <c r="O942"/>
      <c r="P942"/>
      <c r="Q942"/>
      <c r="R942"/>
      <c r="S942"/>
      <c r="T942"/>
      <c r="U942"/>
      <c r="V942"/>
      <c r="W942"/>
    </row>
    <row r="943" spans="1:23" ht="15" x14ac:dyDescent="0.25">
      <c r="A943"/>
      <c r="B943"/>
      <c r="C943"/>
      <c r="D943"/>
      <c r="E943"/>
      <c r="F943"/>
      <c r="G943"/>
      <c r="H943"/>
      <c r="I943"/>
      <c r="J943"/>
      <c r="K943"/>
      <c r="L943"/>
      <c r="M943"/>
      <c r="N943"/>
      <c r="O943"/>
      <c r="P943"/>
      <c r="Q943"/>
      <c r="R943"/>
      <c r="S943"/>
      <c r="T943"/>
      <c r="U943"/>
      <c r="V943"/>
      <c r="W943"/>
    </row>
    <row r="944" spans="1:23" ht="15" x14ac:dyDescent="0.25">
      <c r="A944"/>
      <c r="B944"/>
      <c r="C944"/>
      <c r="D944"/>
      <c r="E944"/>
      <c r="F944"/>
      <c r="G944"/>
      <c r="H944"/>
      <c r="I944"/>
      <c r="J944"/>
      <c r="K944"/>
      <c r="L944"/>
      <c r="M944"/>
      <c r="N944"/>
      <c r="O944"/>
      <c r="P944"/>
      <c r="Q944"/>
      <c r="R944"/>
      <c r="S944"/>
      <c r="T944"/>
      <c r="U944"/>
      <c r="V944"/>
      <c r="W944"/>
    </row>
    <row r="945" spans="1:23" ht="15" x14ac:dyDescent="0.25">
      <c r="A945"/>
      <c r="B945"/>
      <c r="C945"/>
      <c r="D945"/>
      <c r="E945"/>
      <c r="F945"/>
      <c r="G945"/>
      <c r="H945"/>
      <c r="I945"/>
      <c r="J945"/>
      <c r="K945"/>
      <c r="L945"/>
      <c r="M945"/>
      <c r="N945"/>
      <c r="O945"/>
      <c r="P945"/>
      <c r="Q945"/>
      <c r="R945"/>
      <c r="S945"/>
      <c r="T945"/>
      <c r="U945"/>
      <c r="V945"/>
      <c r="W945"/>
    </row>
    <row r="946" spans="1:23" ht="15" x14ac:dyDescent="0.25">
      <c r="A946"/>
      <c r="B946"/>
      <c r="C946"/>
      <c r="D946"/>
      <c r="E946"/>
      <c r="F946"/>
      <c r="G946"/>
      <c r="H946"/>
      <c r="I946"/>
      <c r="J946"/>
      <c r="K946"/>
      <c r="L946"/>
      <c r="M946"/>
      <c r="N946"/>
      <c r="O946"/>
      <c r="P946"/>
      <c r="Q946"/>
      <c r="R946"/>
      <c r="S946"/>
      <c r="T946"/>
      <c r="U946"/>
      <c r="V946"/>
      <c r="W946"/>
    </row>
    <row r="947" spans="1:23" ht="15" x14ac:dyDescent="0.25">
      <c r="A947"/>
      <c r="B947"/>
      <c r="C947"/>
      <c r="D947"/>
      <c r="E947"/>
      <c r="F947"/>
      <c r="G947"/>
      <c r="H947"/>
      <c r="I947"/>
      <c r="J947"/>
      <c r="K947"/>
      <c r="L947"/>
      <c r="M947"/>
      <c r="N947"/>
      <c r="O947"/>
      <c r="P947"/>
      <c r="Q947"/>
      <c r="R947"/>
      <c r="S947"/>
      <c r="T947"/>
      <c r="U947"/>
      <c r="V947"/>
      <c r="W947"/>
    </row>
    <row r="948" spans="1:23" ht="15" x14ac:dyDescent="0.25">
      <c r="A948"/>
      <c r="B948"/>
      <c r="C948"/>
      <c r="D948"/>
      <c r="E948"/>
      <c r="F948"/>
      <c r="G948"/>
      <c r="H948"/>
      <c r="I948"/>
      <c r="J948"/>
      <c r="K948"/>
      <c r="L948"/>
      <c r="M948"/>
      <c r="N948"/>
      <c r="O948"/>
      <c r="P948"/>
      <c r="Q948"/>
      <c r="R948"/>
      <c r="S948"/>
      <c r="T948"/>
      <c r="U948"/>
      <c r="V948"/>
      <c r="W948"/>
    </row>
    <row r="949" spans="1:23" ht="15" x14ac:dyDescent="0.25">
      <c r="A949"/>
      <c r="B949"/>
      <c r="C949"/>
      <c r="D949"/>
      <c r="E949"/>
      <c r="F949"/>
      <c r="G949"/>
      <c r="H949"/>
      <c r="I949"/>
      <c r="J949"/>
      <c r="K949"/>
      <c r="L949"/>
      <c r="M949"/>
      <c r="N949"/>
      <c r="O949"/>
      <c r="P949"/>
      <c r="Q949"/>
      <c r="R949"/>
      <c r="S949"/>
      <c r="T949"/>
      <c r="U949"/>
      <c r="V949"/>
      <c r="W949"/>
    </row>
    <row r="950" spans="1:23" ht="15" x14ac:dyDescent="0.25">
      <c r="A950"/>
      <c r="B950"/>
      <c r="C950"/>
      <c r="D950"/>
      <c r="E950"/>
      <c r="F950"/>
      <c r="G950"/>
      <c r="H950"/>
      <c r="I950"/>
      <c r="J950"/>
      <c r="K950"/>
      <c r="L950"/>
      <c r="M950"/>
      <c r="N950"/>
      <c r="O950"/>
      <c r="P950"/>
      <c r="Q950"/>
      <c r="R950"/>
      <c r="S950"/>
      <c r="T950"/>
      <c r="U950"/>
      <c r="V950"/>
      <c r="W950"/>
    </row>
    <row r="951" spans="1:23" ht="15" x14ac:dyDescent="0.25">
      <c r="A951"/>
      <c r="B951"/>
      <c r="C951"/>
      <c r="D951"/>
      <c r="E951"/>
      <c r="F951"/>
      <c r="G951"/>
      <c r="H951"/>
      <c r="I951"/>
      <c r="J951"/>
      <c r="K951"/>
      <c r="L951"/>
      <c r="M951"/>
      <c r="N951"/>
      <c r="O951"/>
      <c r="P951"/>
      <c r="Q951"/>
      <c r="R951"/>
      <c r="S951"/>
      <c r="T951"/>
      <c r="U951"/>
      <c r="V951"/>
      <c r="W951"/>
    </row>
    <row r="952" spans="1:23" ht="15" x14ac:dyDescent="0.25">
      <c r="A952"/>
      <c r="B952"/>
      <c r="C952"/>
      <c r="D952"/>
      <c r="E952"/>
      <c r="F952"/>
      <c r="G952"/>
      <c r="H952"/>
      <c r="I952"/>
      <c r="J952"/>
      <c r="K952"/>
      <c r="L952"/>
      <c r="M952"/>
      <c r="N952"/>
      <c r="O952"/>
      <c r="P952"/>
      <c r="Q952"/>
      <c r="R952"/>
      <c r="S952"/>
      <c r="T952"/>
      <c r="U952"/>
      <c r="V952"/>
      <c r="W952"/>
    </row>
    <row r="953" spans="1:23" ht="15" x14ac:dyDescent="0.25">
      <c r="A953"/>
      <c r="B953"/>
      <c r="C953"/>
      <c r="D953"/>
      <c r="E953"/>
      <c r="F953"/>
      <c r="G953"/>
      <c r="H953"/>
      <c r="I953"/>
      <c r="J953"/>
      <c r="K953"/>
      <c r="L953"/>
      <c r="M953"/>
      <c r="N953"/>
      <c r="O953"/>
      <c r="P953"/>
      <c r="Q953"/>
      <c r="R953"/>
      <c r="S953"/>
      <c r="T953"/>
      <c r="U953"/>
      <c r="V953"/>
      <c r="W953"/>
    </row>
    <row r="954" spans="1:23" ht="15" x14ac:dyDescent="0.25">
      <c r="A954"/>
      <c r="B954"/>
      <c r="C954"/>
      <c r="D954"/>
      <c r="E954"/>
      <c r="F954"/>
      <c r="G954"/>
      <c r="H954"/>
      <c r="I954"/>
      <c r="J954"/>
      <c r="K954"/>
      <c r="L954"/>
      <c r="M954"/>
      <c r="N954"/>
      <c r="O954"/>
      <c r="P954"/>
      <c r="Q954"/>
      <c r="R954"/>
      <c r="S954"/>
      <c r="T954"/>
      <c r="U954"/>
      <c r="V954"/>
      <c r="W954"/>
    </row>
    <row r="955" spans="1:23" ht="15" x14ac:dyDescent="0.25">
      <c r="A955"/>
      <c r="B955"/>
      <c r="C955"/>
      <c r="D955"/>
      <c r="E955"/>
      <c r="F955"/>
      <c r="G955"/>
      <c r="H955"/>
      <c r="I955"/>
      <c r="J955"/>
      <c r="K955"/>
      <c r="L955"/>
      <c r="M955"/>
      <c r="N955"/>
      <c r="O955"/>
      <c r="P955"/>
      <c r="Q955"/>
      <c r="R955"/>
      <c r="S955"/>
      <c r="T955"/>
      <c r="U955"/>
      <c r="V955"/>
      <c r="W955"/>
    </row>
    <row r="956" spans="1:23" ht="15" x14ac:dyDescent="0.25">
      <c r="A956"/>
      <c r="B956"/>
      <c r="C956"/>
      <c r="D956"/>
      <c r="E956"/>
      <c r="F956"/>
      <c r="G956"/>
      <c r="H956"/>
      <c r="I956"/>
      <c r="J956"/>
      <c r="K956"/>
      <c r="L956"/>
      <c r="M956"/>
      <c r="N956"/>
      <c r="O956"/>
      <c r="P956"/>
      <c r="Q956"/>
      <c r="R956"/>
      <c r="S956"/>
      <c r="T956"/>
      <c r="U956"/>
      <c r="V956"/>
      <c r="W956"/>
    </row>
    <row r="957" spans="1:23" ht="15" x14ac:dyDescent="0.25">
      <c r="A957"/>
      <c r="B957"/>
      <c r="C957"/>
      <c r="D957"/>
      <c r="E957"/>
      <c r="F957"/>
      <c r="G957"/>
      <c r="H957"/>
      <c r="I957"/>
      <c r="J957"/>
      <c r="K957"/>
      <c r="L957"/>
      <c r="M957"/>
      <c r="N957"/>
      <c r="O957"/>
      <c r="P957"/>
      <c r="Q957"/>
      <c r="R957"/>
      <c r="S957"/>
      <c r="T957"/>
      <c r="U957"/>
      <c r="V957"/>
      <c r="W957"/>
    </row>
    <row r="958" spans="1:23" ht="15" x14ac:dyDescent="0.25">
      <c r="A958"/>
      <c r="B958"/>
      <c r="C958"/>
      <c r="D958"/>
      <c r="E958"/>
      <c r="F958"/>
      <c r="G958"/>
      <c r="H958"/>
      <c r="I958"/>
      <c r="J958"/>
      <c r="K958"/>
      <c r="L958"/>
      <c r="M958"/>
      <c r="N958"/>
      <c r="O958"/>
      <c r="P958"/>
      <c r="Q958"/>
      <c r="R958"/>
      <c r="S958"/>
      <c r="T958"/>
      <c r="U958"/>
      <c r="V958"/>
      <c r="W958"/>
    </row>
    <row r="959" spans="1:23" ht="15" x14ac:dyDescent="0.25">
      <c r="A959"/>
      <c r="B959"/>
      <c r="C959"/>
      <c r="D959"/>
      <c r="E959"/>
      <c r="F959"/>
      <c r="G959"/>
      <c r="H959"/>
      <c r="I959"/>
      <c r="J959"/>
      <c r="K959"/>
      <c r="L959"/>
      <c r="M959"/>
      <c r="N959"/>
      <c r="O959"/>
      <c r="P959"/>
      <c r="Q959"/>
      <c r="R959"/>
      <c r="S959"/>
      <c r="T959"/>
      <c r="U959"/>
      <c r="V959"/>
      <c r="W959"/>
    </row>
    <row r="960" spans="1:23" ht="15" x14ac:dyDescent="0.25">
      <c r="A960"/>
      <c r="B960"/>
      <c r="C960"/>
      <c r="D960"/>
      <c r="E960"/>
      <c r="F960"/>
      <c r="G960"/>
      <c r="H960"/>
      <c r="I960"/>
      <c r="J960"/>
      <c r="K960"/>
      <c r="L960"/>
      <c r="M960"/>
      <c r="N960"/>
      <c r="O960"/>
      <c r="P960"/>
      <c r="Q960"/>
      <c r="R960"/>
      <c r="S960"/>
      <c r="T960"/>
      <c r="U960"/>
      <c r="V960"/>
      <c r="W960"/>
    </row>
    <row r="961" spans="1:23" ht="15" x14ac:dyDescent="0.25">
      <c r="A961"/>
      <c r="B961"/>
      <c r="C961"/>
      <c r="D961"/>
      <c r="E961"/>
      <c r="F961"/>
      <c r="G961"/>
      <c r="H961"/>
      <c r="I961"/>
      <c r="J961"/>
      <c r="K961"/>
      <c r="L961"/>
      <c r="M961"/>
      <c r="N961"/>
      <c r="O961"/>
      <c r="P961"/>
      <c r="Q961"/>
      <c r="R961"/>
      <c r="S961"/>
      <c r="T961"/>
      <c r="U961"/>
      <c r="V961"/>
      <c r="W961"/>
    </row>
    <row r="962" spans="1:23" ht="15" x14ac:dyDescent="0.25">
      <c r="A962"/>
      <c r="B962"/>
      <c r="C962"/>
      <c r="D962"/>
      <c r="E962"/>
      <c r="F962"/>
      <c r="G962"/>
      <c r="H962"/>
      <c r="I962"/>
      <c r="J962"/>
      <c r="K962"/>
      <c r="L962"/>
      <c r="M962"/>
      <c r="N962"/>
      <c r="O962"/>
      <c r="P962"/>
      <c r="Q962"/>
      <c r="R962"/>
      <c r="S962"/>
      <c r="T962"/>
      <c r="U962"/>
      <c r="V962"/>
      <c r="W962"/>
    </row>
    <row r="963" spans="1:23" ht="15" x14ac:dyDescent="0.25">
      <c r="A963"/>
      <c r="B963"/>
      <c r="C963"/>
      <c r="D963"/>
      <c r="E963"/>
      <c r="F963"/>
      <c r="G963"/>
      <c r="H963"/>
      <c r="I963"/>
      <c r="J963"/>
      <c r="K963"/>
      <c r="L963"/>
      <c r="M963"/>
      <c r="N963"/>
      <c r="O963"/>
      <c r="P963"/>
      <c r="Q963"/>
      <c r="R963"/>
      <c r="S963"/>
      <c r="T963"/>
      <c r="U963"/>
      <c r="V963"/>
      <c r="W963"/>
    </row>
    <row r="964" spans="1:23" ht="15" x14ac:dyDescent="0.25">
      <c r="A964"/>
      <c r="B964"/>
      <c r="C964"/>
      <c r="D964"/>
      <c r="E964"/>
      <c r="F964"/>
      <c r="G964"/>
      <c r="H964"/>
      <c r="I964"/>
      <c r="J964"/>
      <c r="K964"/>
      <c r="L964"/>
      <c r="M964"/>
      <c r="N964"/>
      <c r="O964"/>
      <c r="P964"/>
      <c r="Q964"/>
      <c r="R964"/>
      <c r="S964"/>
      <c r="T964"/>
      <c r="U964"/>
      <c r="V964"/>
      <c r="W964"/>
    </row>
    <row r="965" spans="1:23" ht="15" x14ac:dyDescent="0.25">
      <c r="A965"/>
      <c r="B965"/>
      <c r="C965"/>
      <c r="D965"/>
      <c r="E965"/>
      <c r="F965"/>
      <c r="G965"/>
      <c r="H965"/>
      <c r="I965"/>
      <c r="J965"/>
      <c r="K965"/>
      <c r="L965"/>
      <c r="M965"/>
      <c r="N965"/>
      <c r="O965"/>
      <c r="P965"/>
      <c r="Q965"/>
      <c r="R965"/>
      <c r="S965"/>
      <c r="T965"/>
      <c r="U965"/>
      <c r="V965"/>
      <c r="W965"/>
    </row>
    <row r="966" spans="1:23" ht="15" x14ac:dyDescent="0.25">
      <c r="A966"/>
      <c r="B966"/>
      <c r="C966"/>
      <c r="D966"/>
      <c r="E966"/>
      <c r="F966"/>
      <c r="G966"/>
      <c r="H966"/>
      <c r="I966"/>
      <c r="J966"/>
      <c r="K966"/>
      <c r="L966"/>
      <c r="M966"/>
      <c r="N966"/>
      <c r="O966"/>
      <c r="P966"/>
      <c r="Q966"/>
      <c r="R966"/>
      <c r="S966"/>
      <c r="T966"/>
      <c r="U966"/>
      <c r="V966"/>
      <c r="W966"/>
    </row>
    <row r="967" spans="1:23" ht="15" x14ac:dyDescent="0.25">
      <c r="A967"/>
      <c r="B967"/>
      <c r="C967"/>
      <c r="D967"/>
      <c r="E967"/>
      <c r="F967"/>
      <c r="G967"/>
      <c r="H967"/>
      <c r="I967"/>
      <c r="J967"/>
      <c r="K967"/>
      <c r="L967"/>
      <c r="M967"/>
      <c r="N967"/>
      <c r="O967"/>
      <c r="P967"/>
      <c r="Q967"/>
      <c r="R967"/>
      <c r="S967"/>
      <c r="T967"/>
      <c r="U967"/>
      <c r="V967"/>
      <c r="W967"/>
    </row>
    <row r="968" spans="1:23" ht="15" x14ac:dyDescent="0.25">
      <c r="A968"/>
      <c r="B968"/>
      <c r="C968"/>
      <c r="D968"/>
      <c r="E968"/>
      <c r="F968"/>
      <c r="G968"/>
      <c r="H968"/>
      <c r="I968"/>
      <c r="J968"/>
      <c r="K968"/>
      <c r="L968"/>
      <c r="M968"/>
      <c r="N968"/>
      <c r="O968"/>
      <c r="P968"/>
      <c r="Q968"/>
      <c r="R968"/>
      <c r="S968"/>
      <c r="T968"/>
      <c r="U968"/>
      <c r="V968"/>
      <c r="W968"/>
    </row>
    <row r="969" spans="1:23" ht="15" x14ac:dyDescent="0.25">
      <c r="A969"/>
      <c r="B969"/>
      <c r="C969"/>
      <c r="D969"/>
      <c r="E969"/>
      <c r="F969"/>
      <c r="G969"/>
      <c r="H969"/>
      <c r="I969"/>
      <c r="J969"/>
      <c r="K969"/>
      <c r="L969"/>
      <c r="M969"/>
      <c r="N969"/>
      <c r="O969"/>
      <c r="P969"/>
      <c r="Q969"/>
      <c r="R969"/>
      <c r="S969"/>
      <c r="T969"/>
      <c r="U969"/>
      <c r="V969"/>
      <c r="W969"/>
    </row>
    <row r="970" spans="1:23" ht="15" x14ac:dyDescent="0.25">
      <c r="A970"/>
      <c r="B970"/>
      <c r="C970"/>
      <c r="D970"/>
      <c r="E970"/>
      <c r="F970"/>
      <c r="G970"/>
      <c r="H970"/>
      <c r="I970"/>
      <c r="J970"/>
      <c r="K970"/>
      <c r="L970"/>
      <c r="M970"/>
      <c r="N970"/>
      <c r="O970"/>
      <c r="P970"/>
      <c r="Q970"/>
      <c r="R970"/>
      <c r="S970"/>
      <c r="T970"/>
      <c r="U970"/>
      <c r="V970"/>
      <c r="W970"/>
    </row>
    <row r="971" spans="1:23" ht="15" x14ac:dyDescent="0.25">
      <c r="A971"/>
      <c r="B971"/>
      <c r="C971"/>
      <c r="D971"/>
      <c r="E971"/>
      <c r="F971"/>
      <c r="G971"/>
      <c r="H971"/>
      <c r="I971"/>
      <c r="J971"/>
      <c r="K971"/>
      <c r="L971"/>
      <c r="M971"/>
      <c r="N971"/>
      <c r="O971"/>
      <c r="P971"/>
      <c r="Q971"/>
      <c r="R971"/>
      <c r="S971"/>
      <c r="T971"/>
      <c r="U971"/>
      <c r="V971"/>
      <c r="W971"/>
    </row>
    <row r="972" spans="1:23" ht="15" x14ac:dyDescent="0.25">
      <c r="A972"/>
      <c r="B972"/>
      <c r="C972"/>
      <c r="D972"/>
      <c r="E972"/>
      <c r="F972"/>
      <c r="G972"/>
      <c r="H972"/>
      <c r="I972"/>
      <c r="J972"/>
      <c r="K972"/>
      <c r="L972"/>
      <c r="M972"/>
      <c r="N972"/>
      <c r="O972"/>
      <c r="P972"/>
      <c r="Q972"/>
      <c r="R972"/>
      <c r="S972"/>
      <c r="T972"/>
      <c r="U972"/>
      <c r="V972"/>
      <c r="W972"/>
    </row>
    <row r="973" spans="1:23" ht="15" x14ac:dyDescent="0.25">
      <c r="A973"/>
      <c r="B973"/>
      <c r="C973"/>
      <c r="D973"/>
      <c r="E973"/>
      <c r="F973"/>
      <c r="G973"/>
      <c r="H973"/>
      <c r="I973"/>
      <c r="J973"/>
      <c r="K973"/>
      <c r="L973"/>
      <c r="M973"/>
      <c r="N973"/>
      <c r="O973"/>
      <c r="P973"/>
      <c r="Q973"/>
      <c r="R973"/>
      <c r="S973"/>
      <c r="T973"/>
      <c r="U973"/>
      <c r="V973"/>
      <c r="W973"/>
    </row>
    <row r="974" spans="1:23" ht="15" x14ac:dyDescent="0.25">
      <c r="A974"/>
      <c r="B974"/>
      <c r="C974"/>
      <c r="D974"/>
      <c r="E974"/>
      <c r="F974"/>
      <c r="G974"/>
      <c r="H974"/>
      <c r="I974"/>
      <c r="J974"/>
      <c r="K974"/>
      <c r="L974"/>
      <c r="M974"/>
      <c r="N974"/>
      <c r="O974"/>
      <c r="P974"/>
      <c r="Q974"/>
      <c r="R974"/>
      <c r="S974"/>
      <c r="T974"/>
      <c r="U974"/>
      <c r="V974"/>
      <c r="W974"/>
    </row>
    <row r="975" spans="1:23" ht="15" x14ac:dyDescent="0.25">
      <c r="A975"/>
      <c r="B975"/>
      <c r="C975"/>
      <c r="D975"/>
      <c r="E975"/>
      <c r="F975"/>
      <c r="G975"/>
      <c r="H975"/>
      <c r="I975"/>
      <c r="J975"/>
      <c r="K975"/>
      <c r="L975"/>
      <c r="M975"/>
      <c r="N975"/>
      <c r="O975"/>
      <c r="P975"/>
      <c r="Q975"/>
      <c r="R975"/>
      <c r="S975"/>
      <c r="T975"/>
      <c r="U975"/>
      <c r="V975"/>
      <c r="W975"/>
    </row>
    <row r="976" spans="1:23" ht="15" x14ac:dyDescent="0.25">
      <c r="A976"/>
      <c r="B976"/>
      <c r="C976"/>
      <c r="D976"/>
      <c r="E976"/>
      <c r="F976"/>
      <c r="G976"/>
      <c r="H976"/>
      <c r="I976"/>
      <c r="J976"/>
      <c r="K976"/>
      <c r="L976"/>
      <c r="M976"/>
      <c r="N976"/>
      <c r="O976"/>
      <c r="P976"/>
      <c r="Q976"/>
      <c r="R976"/>
      <c r="S976"/>
      <c r="T976"/>
      <c r="U976"/>
      <c r="V976"/>
      <c r="W976"/>
    </row>
    <row r="977" spans="1:23" ht="15" x14ac:dyDescent="0.25">
      <c r="A977"/>
      <c r="B977"/>
      <c r="C977"/>
      <c r="D977"/>
      <c r="E977"/>
      <c r="F977"/>
      <c r="G977"/>
      <c r="H977"/>
      <c r="I977"/>
      <c r="J977"/>
      <c r="K977"/>
      <c r="L977"/>
      <c r="M977"/>
      <c r="N977"/>
      <c r="O977"/>
      <c r="P977"/>
      <c r="Q977"/>
      <c r="R977"/>
      <c r="S977"/>
      <c r="T977"/>
      <c r="U977"/>
      <c r="V977"/>
      <c r="W977"/>
    </row>
    <row r="978" spans="1:23" ht="15" x14ac:dyDescent="0.25">
      <c r="A978"/>
      <c r="B978"/>
      <c r="C978"/>
      <c r="D978"/>
      <c r="E978"/>
      <c r="F978"/>
      <c r="G978"/>
      <c r="H978"/>
      <c r="I978"/>
      <c r="J978"/>
      <c r="K978"/>
      <c r="L978"/>
      <c r="M978"/>
      <c r="N978"/>
      <c r="O978"/>
      <c r="P978"/>
      <c r="Q978"/>
      <c r="R978"/>
      <c r="S978"/>
      <c r="T978"/>
      <c r="U978"/>
      <c r="V978"/>
      <c r="W978"/>
    </row>
    <row r="979" spans="1:23" ht="15" x14ac:dyDescent="0.25">
      <c r="A979"/>
      <c r="B979"/>
      <c r="C979"/>
      <c r="D979"/>
      <c r="E979"/>
      <c r="F979"/>
      <c r="G979"/>
      <c r="H979"/>
      <c r="I979"/>
      <c r="J979"/>
      <c r="K979"/>
      <c r="L979"/>
      <c r="M979"/>
      <c r="N979"/>
      <c r="O979"/>
      <c r="P979"/>
      <c r="Q979"/>
      <c r="R979"/>
      <c r="S979"/>
      <c r="T979"/>
      <c r="U979"/>
      <c r="V979"/>
      <c r="W979"/>
    </row>
    <row r="980" spans="1:23" ht="15" x14ac:dyDescent="0.25">
      <c r="A980"/>
      <c r="B980"/>
      <c r="C980"/>
      <c r="D980"/>
      <c r="E980"/>
      <c r="F980"/>
      <c r="G980"/>
      <c r="H980"/>
      <c r="I980"/>
      <c r="J980"/>
      <c r="K980"/>
      <c r="L980"/>
      <c r="M980"/>
      <c r="N980"/>
      <c r="O980"/>
      <c r="P980"/>
      <c r="Q980"/>
      <c r="R980"/>
      <c r="S980"/>
      <c r="T980"/>
      <c r="U980"/>
      <c r="V980"/>
      <c r="W980"/>
    </row>
    <row r="981" spans="1:23" ht="15" x14ac:dyDescent="0.25">
      <c r="A981"/>
      <c r="B981"/>
      <c r="C981"/>
      <c r="D981"/>
      <c r="E981"/>
      <c r="F981"/>
      <c r="G981"/>
      <c r="H981"/>
      <c r="I981"/>
      <c r="J981"/>
      <c r="K981"/>
      <c r="L981"/>
      <c r="M981"/>
      <c r="N981"/>
      <c r="O981"/>
      <c r="P981"/>
      <c r="Q981"/>
      <c r="R981"/>
      <c r="S981"/>
      <c r="T981"/>
      <c r="U981"/>
      <c r="V981"/>
      <c r="W981"/>
    </row>
    <row r="982" spans="1:23" ht="15" x14ac:dyDescent="0.25">
      <c r="A982"/>
      <c r="B982"/>
      <c r="C982"/>
      <c r="D982"/>
      <c r="E982"/>
      <c r="F982"/>
      <c r="G982"/>
      <c r="H982"/>
      <c r="I982"/>
      <c r="J982"/>
      <c r="K982"/>
      <c r="L982"/>
      <c r="M982"/>
      <c r="N982"/>
      <c r="O982"/>
      <c r="P982"/>
      <c r="Q982"/>
      <c r="R982"/>
      <c r="S982"/>
      <c r="T982"/>
      <c r="U982"/>
      <c r="V982"/>
      <c r="W982"/>
    </row>
    <row r="983" spans="1:23" ht="15" x14ac:dyDescent="0.25">
      <c r="A983"/>
      <c r="B983"/>
      <c r="C983"/>
      <c r="D983"/>
      <c r="E983"/>
      <c r="F983"/>
      <c r="G983"/>
      <c r="H983"/>
      <c r="I983"/>
      <c r="J983"/>
      <c r="K983"/>
      <c r="L983"/>
      <c r="M983"/>
      <c r="N983"/>
      <c r="O983"/>
      <c r="P983"/>
      <c r="Q983"/>
      <c r="R983"/>
      <c r="S983"/>
      <c r="T983"/>
      <c r="U983"/>
      <c r="V983"/>
      <c r="W983"/>
    </row>
    <row r="984" spans="1:23" ht="15" x14ac:dyDescent="0.25">
      <c r="A984"/>
      <c r="B984"/>
      <c r="C984"/>
      <c r="D984"/>
      <c r="E984"/>
      <c r="F984"/>
      <c r="G984"/>
      <c r="H984"/>
      <c r="I984"/>
      <c r="J984"/>
      <c r="K984"/>
      <c r="L984"/>
      <c r="M984"/>
      <c r="N984"/>
      <c r="O984"/>
      <c r="P984"/>
      <c r="Q984"/>
      <c r="R984"/>
      <c r="S984"/>
      <c r="T984"/>
      <c r="U984"/>
      <c r="V984"/>
      <c r="W984"/>
    </row>
    <row r="985" spans="1:23" ht="15" x14ac:dyDescent="0.25">
      <c r="A985"/>
      <c r="B985"/>
      <c r="C985"/>
      <c r="D985"/>
      <c r="E985"/>
      <c r="F985"/>
      <c r="G985"/>
      <c r="H985"/>
      <c r="I985"/>
      <c r="J985"/>
      <c r="K985"/>
      <c r="L985"/>
      <c r="M985"/>
      <c r="N985"/>
      <c r="O985"/>
      <c r="P985"/>
      <c r="Q985"/>
      <c r="R985"/>
      <c r="S985"/>
      <c r="T985"/>
      <c r="U985"/>
      <c r="V985"/>
      <c r="W985"/>
    </row>
    <row r="986" spans="1:23" ht="15" x14ac:dyDescent="0.25">
      <c r="A986"/>
      <c r="B986"/>
      <c r="C986"/>
      <c r="D986"/>
      <c r="E986"/>
      <c r="F986"/>
      <c r="G986"/>
      <c r="H986"/>
      <c r="I986"/>
      <c r="J986"/>
      <c r="K986"/>
      <c r="L986"/>
      <c r="M986"/>
      <c r="N986"/>
      <c r="O986"/>
      <c r="P986"/>
      <c r="Q986"/>
      <c r="R986"/>
      <c r="S986"/>
      <c r="T986"/>
      <c r="U986"/>
      <c r="V986"/>
      <c r="W986"/>
    </row>
    <row r="987" spans="1:23" ht="15" x14ac:dyDescent="0.25">
      <c r="A987"/>
      <c r="B987"/>
      <c r="C987"/>
      <c r="D987"/>
      <c r="E987"/>
      <c r="F987"/>
      <c r="G987"/>
      <c r="H987"/>
      <c r="I987"/>
      <c r="J987"/>
      <c r="K987"/>
      <c r="L987"/>
      <c r="M987"/>
      <c r="N987"/>
      <c r="O987"/>
      <c r="P987"/>
      <c r="Q987"/>
      <c r="R987"/>
      <c r="S987"/>
      <c r="T987"/>
      <c r="U987"/>
      <c r="V987"/>
      <c r="W987"/>
    </row>
    <row r="988" spans="1:23" ht="15" x14ac:dyDescent="0.25">
      <c r="A988"/>
      <c r="B988"/>
      <c r="C988"/>
      <c r="D988"/>
      <c r="E988"/>
      <c r="F988"/>
      <c r="G988"/>
      <c r="H988"/>
      <c r="I988"/>
      <c r="J988"/>
      <c r="K988"/>
      <c r="L988"/>
      <c r="M988"/>
      <c r="N988"/>
      <c r="O988"/>
      <c r="P988"/>
      <c r="Q988"/>
      <c r="R988"/>
      <c r="S988"/>
      <c r="T988"/>
      <c r="U988"/>
      <c r="V988"/>
      <c r="W988"/>
    </row>
    <row r="989" spans="1:23" ht="15" x14ac:dyDescent="0.25">
      <c r="A989"/>
      <c r="B989"/>
      <c r="C989"/>
      <c r="D989"/>
      <c r="E989"/>
      <c r="F989"/>
      <c r="G989"/>
      <c r="H989"/>
      <c r="I989"/>
      <c r="J989"/>
      <c r="K989"/>
      <c r="L989"/>
      <c r="M989"/>
      <c r="N989"/>
      <c r="O989"/>
      <c r="P989"/>
      <c r="Q989"/>
      <c r="R989"/>
      <c r="S989"/>
      <c r="T989"/>
      <c r="U989"/>
      <c r="V989"/>
      <c r="W989"/>
    </row>
    <row r="990" spans="1:23" ht="15" x14ac:dyDescent="0.25">
      <c r="A990"/>
      <c r="B990"/>
      <c r="C990"/>
      <c r="D990"/>
      <c r="E990"/>
      <c r="F990"/>
      <c r="G990"/>
      <c r="H990"/>
      <c r="I990"/>
      <c r="J990"/>
      <c r="K990"/>
      <c r="L990"/>
      <c r="M990"/>
      <c r="N990"/>
      <c r="O990"/>
      <c r="P990"/>
      <c r="Q990"/>
      <c r="R990"/>
      <c r="S990"/>
      <c r="T990"/>
      <c r="U990"/>
      <c r="V990"/>
      <c r="W990"/>
    </row>
    <row r="991" spans="1:23" ht="15" x14ac:dyDescent="0.25">
      <c r="A991"/>
      <c r="B991"/>
      <c r="C991"/>
      <c r="D991"/>
      <c r="E991"/>
      <c r="F991"/>
      <c r="G991"/>
      <c r="H991"/>
      <c r="I991"/>
      <c r="J991"/>
      <c r="K991"/>
      <c r="L991"/>
      <c r="M991"/>
      <c r="N991"/>
      <c r="O991"/>
      <c r="P991"/>
      <c r="Q991"/>
      <c r="R991"/>
      <c r="S991"/>
      <c r="T991"/>
      <c r="U991"/>
      <c r="V991"/>
      <c r="W991"/>
    </row>
    <row r="992" spans="1:23" ht="15" x14ac:dyDescent="0.25">
      <c r="A992"/>
      <c r="B992"/>
      <c r="C992"/>
      <c r="D992"/>
      <c r="E992"/>
      <c r="F992"/>
      <c r="G992"/>
      <c r="H992"/>
      <c r="I992"/>
      <c r="J992"/>
      <c r="K992"/>
      <c r="L992"/>
      <c r="M992"/>
      <c r="N992"/>
      <c r="O992"/>
      <c r="P992"/>
      <c r="Q992"/>
      <c r="R992"/>
      <c r="S992"/>
      <c r="T992"/>
      <c r="U992"/>
      <c r="V992"/>
      <c r="W992"/>
    </row>
    <row r="993" spans="1:23" ht="15" x14ac:dyDescent="0.25">
      <c r="A993"/>
      <c r="B993"/>
      <c r="C993"/>
      <c r="D993"/>
      <c r="E993"/>
      <c r="F993"/>
      <c r="G993"/>
      <c r="H993"/>
      <c r="I993"/>
      <c r="J993"/>
      <c r="K993"/>
      <c r="L993"/>
      <c r="M993"/>
      <c r="N993"/>
      <c r="O993"/>
      <c r="P993"/>
      <c r="Q993"/>
      <c r="R993"/>
      <c r="S993"/>
      <c r="T993"/>
      <c r="U993"/>
      <c r="V993"/>
      <c r="W993"/>
    </row>
    <row r="994" spans="1:23" ht="15" x14ac:dyDescent="0.25">
      <c r="A994"/>
      <c r="B994"/>
      <c r="C994"/>
      <c r="D994"/>
      <c r="E994"/>
      <c r="F994"/>
      <c r="G994"/>
      <c r="H994"/>
      <c r="I994"/>
      <c r="J994"/>
      <c r="K994"/>
      <c r="L994"/>
      <c r="M994"/>
      <c r="N994"/>
      <c r="O994"/>
      <c r="P994"/>
      <c r="Q994"/>
      <c r="R994"/>
      <c r="S994"/>
      <c r="T994"/>
      <c r="U994"/>
      <c r="V994"/>
      <c r="W994"/>
    </row>
    <row r="995" spans="1:23" ht="15" x14ac:dyDescent="0.25">
      <c r="A995"/>
      <c r="B995"/>
      <c r="C995"/>
      <c r="D995"/>
      <c r="E995"/>
      <c r="F995"/>
      <c r="G995"/>
      <c r="H995"/>
      <c r="I995"/>
      <c r="J995"/>
      <c r="K995"/>
      <c r="L995"/>
      <c r="M995"/>
      <c r="N995"/>
      <c r="O995"/>
      <c r="P995"/>
      <c r="Q995"/>
      <c r="R995"/>
      <c r="S995"/>
      <c r="T995"/>
      <c r="U995"/>
      <c r="V995"/>
      <c r="W995"/>
    </row>
    <row r="996" spans="1:23" ht="15" x14ac:dyDescent="0.25">
      <c r="A996"/>
      <c r="B996"/>
      <c r="C996"/>
      <c r="D996"/>
      <c r="E996"/>
      <c r="F996"/>
      <c r="G996"/>
      <c r="H996"/>
      <c r="I996"/>
      <c r="J996"/>
      <c r="K996"/>
      <c r="L996"/>
      <c r="M996"/>
      <c r="N996"/>
      <c r="O996"/>
      <c r="P996"/>
      <c r="Q996"/>
      <c r="R996"/>
      <c r="S996"/>
      <c r="T996"/>
      <c r="U996"/>
      <c r="V996"/>
      <c r="W996"/>
    </row>
    <row r="997" spans="1:23" ht="15" x14ac:dyDescent="0.25">
      <c r="A997"/>
      <c r="B997"/>
      <c r="C997"/>
      <c r="D997"/>
      <c r="E997"/>
      <c r="F997"/>
      <c r="G997"/>
      <c r="H997"/>
      <c r="I997"/>
      <c r="J997"/>
      <c r="K997"/>
      <c r="L997"/>
      <c r="M997"/>
      <c r="N997"/>
      <c r="O997"/>
      <c r="P997"/>
      <c r="Q997"/>
      <c r="R997"/>
      <c r="S997"/>
      <c r="T997"/>
      <c r="U997"/>
      <c r="V997"/>
      <c r="W997"/>
    </row>
    <row r="998" spans="1:23" ht="15" x14ac:dyDescent="0.25">
      <c r="A998"/>
      <c r="B998"/>
      <c r="C998"/>
      <c r="D998"/>
      <c r="E998"/>
      <c r="F998"/>
      <c r="G998"/>
      <c r="H998"/>
      <c r="I998"/>
      <c r="J998"/>
      <c r="K998"/>
      <c r="L998"/>
      <c r="M998"/>
      <c r="N998"/>
      <c r="O998"/>
      <c r="P998"/>
      <c r="Q998"/>
      <c r="R998"/>
      <c r="S998"/>
      <c r="T998"/>
      <c r="U998"/>
      <c r="V998"/>
      <c r="W998"/>
    </row>
    <row r="999" spans="1:23" ht="15" x14ac:dyDescent="0.25">
      <c r="A999"/>
      <c r="B999"/>
      <c r="C999"/>
      <c r="D999"/>
      <c r="E999"/>
      <c r="F999"/>
      <c r="G999"/>
      <c r="H999"/>
      <c r="I999"/>
      <c r="J999"/>
      <c r="K999"/>
      <c r="L999"/>
      <c r="M999"/>
      <c r="N999"/>
      <c r="O999"/>
      <c r="P999"/>
      <c r="Q999"/>
      <c r="R999"/>
      <c r="S999"/>
      <c r="T999"/>
      <c r="U999"/>
      <c r="V999"/>
      <c r="W999"/>
    </row>
    <row r="1000" spans="1:23" ht="15" x14ac:dyDescent="0.25">
      <c r="A1000"/>
      <c r="B1000"/>
      <c r="C1000"/>
      <c r="D1000"/>
      <c r="E1000"/>
      <c r="F1000"/>
      <c r="G1000"/>
      <c r="H1000"/>
      <c r="I1000"/>
      <c r="J1000"/>
      <c r="K1000"/>
      <c r="L1000"/>
      <c r="M1000"/>
      <c r="N1000"/>
      <c r="O1000"/>
      <c r="P1000"/>
      <c r="Q1000"/>
      <c r="R1000"/>
      <c r="S1000"/>
      <c r="T1000"/>
      <c r="U1000"/>
      <c r="V1000"/>
      <c r="W1000"/>
    </row>
    <row r="1001" spans="1:23" ht="15" x14ac:dyDescent="0.25">
      <c r="A1001"/>
      <c r="B1001"/>
      <c r="C1001"/>
      <c r="D1001"/>
      <c r="E1001"/>
      <c r="F1001"/>
      <c r="G1001"/>
      <c r="H1001"/>
      <c r="I1001"/>
      <c r="J1001"/>
      <c r="K1001"/>
      <c r="L1001"/>
      <c r="M1001"/>
      <c r="N1001"/>
      <c r="O1001"/>
      <c r="P1001"/>
      <c r="Q1001"/>
      <c r="R1001"/>
      <c r="S1001"/>
      <c r="T1001"/>
      <c r="U1001"/>
      <c r="V1001"/>
      <c r="W1001"/>
    </row>
    <row r="1002" spans="1:23" ht="15" x14ac:dyDescent="0.25">
      <c r="A1002"/>
      <c r="B1002"/>
      <c r="C1002"/>
      <c r="D1002"/>
      <c r="E1002"/>
      <c r="F1002"/>
      <c r="G1002"/>
      <c r="H1002"/>
      <c r="I1002"/>
      <c r="J1002"/>
      <c r="K1002"/>
      <c r="L1002"/>
      <c r="M1002"/>
      <c r="N1002"/>
      <c r="O1002"/>
      <c r="P1002"/>
      <c r="Q1002"/>
      <c r="R1002"/>
      <c r="S1002"/>
      <c r="T1002"/>
      <c r="U1002"/>
      <c r="V1002"/>
      <c r="W1002"/>
    </row>
    <row r="1003" spans="1:23" ht="15" x14ac:dyDescent="0.25">
      <c r="A1003"/>
      <c r="B1003"/>
      <c r="C1003"/>
      <c r="D1003"/>
      <c r="E1003"/>
      <c r="F1003"/>
      <c r="G1003"/>
      <c r="H1003"/>
      <c r="I1003"/>
      <c r="J1003"/>
      <c r="K1003"/>
      <c r="L1003"/>
      <c r="M1003"/>
      <c r="N1003"/>
      <c r="O1003"/>
      <c r="P1003"/>
      <c r="Q1003"/>
      <c r="R1003"/>
      <c r="S1003"/>
      <c r="T1003"/>
      <c r="U1003"/>
      <c r="V1003"/>
      <c r="W1003"/>
    </row>
    <row r="1004" spans="1:23" ht="15" x14ac:dyDescent="0.25">
      <c r="A1004"/>
      <c r="B1004"/>
      <c r="C1004"/>
      <c r="D1004"/>
      <c r="E1004"/>
      <c r="F1004"/>
      <c r="G1004"/>
      <c r="H1004"/>
      <c r="I1004"/>
      <c r="J1004"/>
      <c r="K1004"/>
      <c r="L1004"/>
      <c r="M1004"/>
      <c r="N1004"/>
      <c r="O1004"/>
      <c r="P1004"/>
      <c r="Q1004"/>
      <c r="R1004"/>
      <c r="S1004"/>
      <c r="T1004"/>
      <c r="U1004"/>
      <c r="V1004"/>
      <c r="W1004"/>
    </row>
    <row r="1005" spans="1:23" ht="15" x14ac:dyDescent="0.25">
      <c r="A1005"/>
      <c r="B1005"/>
      <c r="C1005"/>
      <c r="D1005"/>
      <c r="E1005"/>
      <c r="F1005"/>
      <c r="G1005"/>
      <c r="H1005"/>
      <c r="I1005"/>
      <c r="J1005"/>
      <c r="K1005"/>
      <c r="L1005"/>
      <c r="M1005"/>
      <c r="N1005"/>
      <c r="O1005"/>
      <c r="P1005"/>
      <c r="Q1005"/>
      <c r="R1005"/>
      <c r="S1005"/>
      <c r="T1005"/>
      <c r="U1005"/>
      <c r="V1005"/>
      <c r="W1005"/>
    </row>
    <row r="1006" spans="1:23" ht="15" x14ac:dyDescent="0.25">
      <c r="A1006"/>
      <c r="B1006"/>
      <c r="C1006"/>
      <c r="D1006"/>
      <c r="E1006"/>
      <c r="F1006"/>
      <c r="G1006"/>
      <c r="H1006"/>
      <c r="I1006"/>
      <c r="J1006"/>
      <c r="K1006"/>
      <c r="L1006"/>
      <c r="M1006"/>
      <c r="N1006"/>
      <c r="O1006"/>
      <c r="P1006"/>
      <c r="Q1006"/>
      <c r="R1006"/>
      <c r="S1006"/>
      <c r="T1006"/>
      <c r="U1006"/>
      <c r="V1006"/>
      <c r="W1006"/>
    </row>
    <row r="1007" spans="1:23" ht="15" x14ac:dyDescent="0.25">
      <c r="A1007"/>
      <c r="B1007"/>
      <c r="C1007"/>
      <c r="D1007"/>
      <c r="E1007"/>
      <c r="F1007"/>
      <c r="G1007"/>
      <c r="H1007"/>
      <c r="I1007"/>
      <c r="J1007"/>
      <c r="K1007"/>
      <c r="L1007"/>
      <c r="M1007"/>
      <c r="N1007"/>
      <c r="O1007"/>
      <c r="P1007"/>
      <c r="Q1007"/>
      <c r="R1007"/>
      <c r="S1007"/>
      <c r="T1007"/>
      <c r="U1007"/>
      <c r="V1007"/>
      <c r="W1007"/>
    </row>
    <row r="1008" spans="1:23" ht="15" x14ac:dyDescent="0.25">
      <c r="A1008"/>
      <c r="B1008"/>
      <c r="C1008"/>
      <c r="D1008"/>
      <c r="E1008"/>
      <c r="F1008"/>
      <c r="G1008"/>
      <c r="H1008"/>
      <c r="I1008"/>
      <c r="J1008"/>
      <c r="K1008"/>
      <c r="L1008"/>
      <c r="M1008"/>
      <c r="N1008"/>
      <c r="O1008"/>
      <c r="P1008"/>
      <c r="Q1008"/>
      <c r="R1008"/>
      <c r="S1008"/>
      <c r="T1008"/>
      <c r="U1008"/>
      <c r="V1008"/>
      <c r="W1008"/>
    </row>
    <row r="1009" spans="1:23" ht="15" x14ac:dyDescent="0.25">
      <c r="A1009"/>
      <c r="B1009"/>
      <c r="C1009"/>
      <c r="D1009"/>
      <c r="E1009"/>
      <c r="F1009"/>
      <c r="G1009"/>
      <c r="H1009"/>
      <c r="I1009"/>
      <c r="J1009"/>
      <c r="K1009"/>
      <c r="L1009"/>
      <c r="M1009"/>
      <c r="N1009"/>
      <c r="O1009"/>
      <c r="P1009"/>
      <c r="Q1009"/>
      <c r="R1009"/>
      <c r="S1009"/>
      <c r="T1009"/>
      <c r="U1009"/>
      <c r="V1009"/>
      <c r="W1009"/>
    </row>
    <row r="1010" spans="1:23" ht="15" x14ac:dyDescent="0.25">
      <c r="A1010"/>
      <c r="B1010"/>
      <c r="C1010"/>
      <c r="D1010"/>
      <c r="E1010"/>
      <c r="F1010"/>
      <c r="G1010"/>
      <c r="H1010"/>
      <c r="I1010"/>
      <c r="J1010"/>
      <c r="K1010"/>
      <c r="L1010"/>
      <c r="M1010"/>
      <c r="N1010"/>
      <c r="O1010"/>
      <c r="P1010"/>
      <c r="Q1010"/>
      <c r="R1010"/>
      <c r="S1010"/>
      <c r="T1010"/>
      <c r="U1010"/>
      <c r="V1010"/>
      <c r="W1010"/>
    </row>
    <row r="1011" spans="1:23" ht="15" x14ac:dyDescent="0.25">
      <c r="A1011"/>
      <c r="B1011"/>
      <c r="C1011"/>
      <c r="D1011"/>
      <c r="E1011"/>
      <c r="F1011"/>
      <c r="G1011"/>
      <c r="H1011"/>
      <c r="I1011"/>
      <c r="J1011"/>
      <c r="K1011"/>
      <c r="L1011"/>
      <c r="M1011"/>
      <c r="N1011"/>
      <c r="O1011"/>
      <c r="P1011"/>
      <c r="Q1011"/>
      <c r="R1011"/>
      <c r="S1011"/>
      <c r="T1011"/>
      <c r="U1011"/>
      <c r="V1011"/>
      <c r="W1011"/>
    </row>
    <row r="1012" spans="1:23" ht="15" x14ac:dyDescent="0.25">
      <c r="A1012"/>
      <c r="B1012"/>
      <c r="C1012"/>
      <c r="D1012"/>
      <c r="E1012"/>
      <c r="F1012"/>
      <c r="G1012"/>
      <c r="H1012"/>
      <c r="I1012"/>
      <c r="J1012"/>
      <c r="K1012"/>
      <c r="L1012"/>
      <c r="M1012"/>
      <c r="N1012"/>
      <c r="O1012"/>
      <c r="P1012"/>
      <c r="Q1012"/>
      <c r="R1012"/>
      <c r="S1012"/>
      <c r="T1012"/>
      <c r="U1012"/>
      <c r="V1012"/>
      <c r="W1012"/>
    </row>
    <row r="1013" spans="1:23" ht="15" x14ac:dyDescent="0.25">
      <c r="A1013"/>
      <c r="B1013"/>
      <c r="C1013"/>
      <c r="D1013"/>
      <c r="E1013"/>
      <c r="F1013"/>
      <c r="G1013"/>
      <c r="H1013"/>
      <c r="I1013"/>
      <c r="J1013"/>
      <c r="K1013"/>
      <c r="L1013"/>
      <c r="M1013"/>
      <c r="N1013"/>
      <c r="O1013"/>
      <c r="P1013"/>
      <c r="Q1013"/>
      <c r="R1013"/>
      <c r="S1013"/>
      <c r="T1013"/>
      <c r="U1013"/>
      <c r="V1013"/>
      <c r="W1013"/>
    </row>
    <row r="1014" spans="1:23" ht="15" x14ac:dyDescent="0.25">
      <c r="A1014"/>
      <c r="B1014"/>
      <c r="C1014"/>
      <c r="D1014"/>
      <c r="E1014"/>
      <c r="F1014"/>
      <c r="G1014"/>
      <c r="H1014"/>
      <c r="I1014"/>
      <c r="J1014"/>
      <c r="K1014"/>
      <c r="L1014"/>
      <c r="M1014"/>
      <c r="N1014"/>
      <c r="O1014"/>
      <c r="P1014"/>
      <c r="Q1014"/>
      <c r="R1014"/>
      <c r="S1014"/>
      <c r="T1014"/>
      <c r="U1014"/>
      <c r="V1014"/>
      <c r="W1014"/>
    </row>
    <row r="1015" spans="1:23" ht="15" x14ac:dyDescent="0.25">
      <c r="A1015"/>
      <c r="B1015"/>
      <c r="C1015"/>
      <c r="D1015"/>
      <c r="E1015"/>
      <c r="F1015"/>
      <c r="G1015"/>
      <c r="H1015"/>
      <c r="I1015"/>
      <c r="J1015"/>
      <c r="K1015"/>
      <c r="L1015"/>
      <c r="M1015"/>
      <c r="N1015"/>
      <c r="O1015"/>
      <c r="P1015"/>
      <c r="Q1015"/>
      <c r="R1015"/>
      <c r="S1015"/>
      <c r="T1015"/>
      <c r="U1015"/>
      <c r="V1015"/>
      <c r="W1015"/>
    </row>
    <row r="1016" spans="1:23" ht="15" x14ac:dyDescent="0.25">
      <c r="A1016"/>
      <c r="B1016"/>
      <c r="C1016"/>
      <c r="D1016"/>
      <c r="E1016"/>
      <c r="F1016"/>
      <c r="G1016"/>
      <c r="H1016"/>
      <c r="I1016"/>
      <c r="J1016"/>
      <c r="K1016"/>
      <c r="L1016"/>
      <c r="M1016"/>
      <c r="N1016"/>
      <c r="O1016"/>
      <c r="P1016"/>
      <c r="Q1016"/>
      <c r="R1016"/>
      <c r="S1016"/>
      <c r="T1016"/>
      <c r="U1016"/>
      <c r="V1016"/>
      <c r="W1016"/>
    </row>
    <row r="1017" spans="1:23" ht="15" x14ac:dyDescent="0.25">
      <c r="A1017"/>
      <c r="B1017"/>
      <c r="C1017"/>
      <c r="D1017"/>
      <c r="E1017"/>
      <c r="F1017"/>
      <c r="G1017"/>
      <c r="H1017"/>
      <c r="I1017"/>
      <c r="J1017"/>
      <c r="K1017"/>
      <c r="L1017"/>
      <c r="M1017"/>
      <c r="N1017"/>
      <c r="O1017"/>
      <c r="P1017"/>
      <c r="Q1017"/>
      <c r="R1017"/>
      <c r="S1017"/>
      <c r="T1017"/>
      <c r="U1017"/>
      <c r="V1017"/>
      <c r="W1017"/>
    </row>
    <row r="1018" spans="1:23" ht="15" x14ac:dyDescent="0.25">
      <c r="A1018"/>
      <c r="B1018"/>
      <c r="C1018"/>
      <c r="D1018"/>
      <c r="E1018"/>
      <c r="F1018"/>
      <c r="G1018"/>
      <c r="H1018"/>
      <c r="I1018"/>
      <c r="J1018"/>
      <c r="K1018"/>
      <c r="L1018"/>
      <c r="M1018"/>
      <c r="N1018"/>
      <c r="O1018"/>
      <c r="P1018"/>
      <c r="Q1018"/>
      <c r="R1018"/>
      <c r="S1018"/>
      <c r="T1018"/>
      <c r="U1018"/>
      <c r="V1018"/>
      <c r="W1018"/>
    </row>
    <row r="1019" spans="1:23" ht="15" x14ac:dyDescent="0.25">
      <c r="A1019"/>
      <c r="B1019"/>
      <c r="C1019"/>
      <c r="D1019"/>
      <c r="E1019"/>
      <c r="F1019"/>
      <c r="G1019"/>
      <c r="H1019"/>
      <c r="I1019"/>
      <c r="J1019"/>
      <c r="K1019"/>
      <c r="L1019"/>
      <c r="M1019"/>
      <c r="N1019"/>
      <c r="O1019"/>
      <c r="P1019"/>
      <c r="Q1019"/>
      <c r="R1019"/>
      <c r="S1019"/>
      <c r="T1019"/>
      <c r="U1019"/>
      <c r="V1019"/>
      <c r="W1019"/>
    </row>
    <row r="1020" spans="1:23" ht="15" x14ac:dyDescent="0.25">
      <c r="A1020"/>
      <c r="B1020"/>
      <c r="C1020"/>
      <c r="D1020"/>
      <c r="E1020"/>
      <c r="F1020"/>
      <c r="G1020"/>
      <c r="H1020"/>
      <c r="I1020"/>
      <c r="J1020"/>
      <c r="K1020"/>
      <c r="L1020"/>
      <c r="M1020"/>
      <c r="N1020"/>
      <c r="O1020"/>
      <c r="P1020"/>
      <c r="Q1020"/>
      <c r="R1020"/>
      <c r="S1020"/>
      <c r="T1020"/>
      <c r="U1020"/>
      <c r="V1020"/>
      <c r="W1020"/>
    </row>
    <row r="1021" spans="1:23" ht="15" x14ac:dyDescent="0.25">
      <c r="A1021"/>
      <c r="B1021"/>
      <c r="C1021"/>
      <c r="D1021"/>
      <c r="E1021"/>
      <c r="F1021"/>
      <c r="G1021"/>
      <c r="H1021"/>
      <c r="I1021"/>
      <c r="J1021"/>
      <c r="K1021"/>
      <c r="L1021"/>
      <c r="M1021"/>
      <c r="N1021"/>
      <c r="O1021"/>
      <c r="P1021"/>
      <c r="Q1021"/>
      <c r="R1021"/>
      <c r="S1021"/>
      <c r="T1021"/>
      <c r="U1021"/>
      <c r="V1021"/>
      <c r="W1021"/>
    </row>
    <row r="1022" spans="1:23" ht="15" x14ac:dyDescent="0.25">
      <c r="A1022"/>
      <c r="B1022"/>
      <c r="C1022"/>
      <c r="D1022"/>
      <c r="E1022"/>
      <c r="F1022"/>
      <c r="G1022"/>
      <c r="H1022"/>
      <c r="I1022"/>
      <c r="J1022"/>
      <c r="K1022"/>
      <c r="L1022"/>
      <c r="M1022"/>
      <c r="N1022"/>
      <c r="O1022"/>
      <c r="P1022"/>
      <c r="Q1022"/>
      <c r="R1022"/>
      <c r="S1022"/>
      <c r="T1022"/>
      <c r="U1022"/>
      <c r="V1022"/>
      <c r="W1022"/>
    </row>
    <row r="1023" spans="1:23" ht="15" x14ac:dyDescent="0.25">
      <c r="A1023"/>
      <c r="B1023"/>
      <c r="C1023"/>
      <c r="D1023"/>
      <c r="E1023"/>
      <c r="F1023"/>
      <c r="G1023"/>
      <c r="H1023"/>
      <c r="I1023"/>
      <c r="J1023"/>
      <c r="K1023"/>
      <c r="L1023"/>
      <c r="M1023"/>
      <c r="N1023"/>
      <c r="O1023"/>
      <c r="P1023"/>
      <c r="Q1023"/>
      <c r="R1023"/>
      <c r="S1023"/>
      <c r="T1023"/>
      <c r="U1023"/>
      <c r="V1023"/>
      <c r="W1023"/>
    </row>
    <row r="1024" spans="1:23" ht="15" x14ac:dyDescent="0.25">
      <c r="A1024"/>
      <c r="B1024"/>
      <c r="C1024"/>
      <c r="D1024"/>
      <c r="E1024"/>
      <c r="F1024"/>
      <c r="G1024"/>
      <c r="H1024"/>
      <c r="I1024"/>
      <c r="J1024"/>
      <c r="K1024"/>
      <c r="L1024"/>
      <c r="M1024"/>
      <c r="N1024"/>
      <c r="O1024"/>
      <c r="P1024"/>
      <c r="Q1024"/>
      <c r="R1024"/>
      <c r="S1024"/>
      <c r="T1024"/>
      <c r="U1024"/>
      <c r="V1024"/>
      <c r="W1024"/>
    </row>
    <row r="1025" spans="1:23" ht="15" x14ac:dyDescent="0.25">
      <c r="A1025"/>
      <c r="B1025"/>
      <c r="C1025"/>
      <c r="D1025"/>
      <c r="E1025"/>
      <c r="F1025"/>
      <c r="G1025"/>
      <c r="H1025"/>
      <c r="I1025"/>
      <c r="J1025"/>
      <c r="K1025"/>
      <c r="L1025"/>
      <c r="M1025"/>
      <c r="N1025"/>
      <c r="O1025"/>
      <c r="P1025"/>
      <c r="Q1025"/>
      <c r="R1025"/>
      <c r="S1025"/>
      <c r="T1025"/>
      <c r="U1025"/>
      <c r="V1025"/>
      <c r="W1025"/>
    </row>
    <row r="1026" spans="1:23" ht="15" x14ac:dyDescent="0.25">
      <c r="A1026"/>
      <c r="B1026"/>
      <c r="C1026"/>
      <c r="D1026"/>
      <c r="E1026"/>
      <c r="F1026"/>
      <c r="G1026"/>
      <c r="H1026"/>
      <c r="I1026"/>
      <c r="J1026"/>
      <c r="K1026"/>
      <c r="L1026"/>
      <c r="M1026"/>
      <c r="N1026"/>
      <c r="O1026"/>
      <c r="P1026"/>
      <c r="Q1026"/>
      <c r="R1026"/>
      <c r="S1026"/>
      <c r="T1026"/>
      <c r="U1026"/>
      <c r="V1026"/>
      <c r="W1026"/>
    </row>
    <row r="1027" spans="1:23" ht="15" x14ac:dyDescent="0.25">
      <c r="A1027"/>
      <c r="B1027"/>
      <c r="C1027"/>
      <c r="D1027"/>
      <c r="E1027"/>
      <c r="F1027"/>
      <c r="G1027"/>
      <c r="H1027"/>
      <c r="I1027"/>
      <c r="J1027"/>
      <c r="K1027"/>
      <c r="L1027"/>
      <c r="M1027"/>
      <c r="N1027"/>
      <c r="O1027"/>
      <c r="P1027"/>
      <c r="Q1027"/>
      <c r="R1027"/>
      <c r="S1027"/>
      <c r="T1027"/>
      <c r="U1027"/>
      <c r="V1027"/>
      <c r="W1027"/>
    </row>
    <row r="1028" spans="1:23" ht="15" x14ac:dyDescent="0.25">
      <c r="A1028"/>
      <c r="B1028"/>
      <c r="C1028"/>
      <c r="D1028"/>
      <c r="E1028"/>
      <c r="F1028"/>
      <c r="G1028"/>
      <c r="H1028"/>
      <c r="I1028"/>
      <c r="J1028"/>
      <c r="K1028"/>
      <c r="L1028"/>
      <c r="M1028"/>
      <c r="N1028"/>
      <c r="O1028"/>
      <c r="P1028"/>
      <c r="Q1028"/>
      <c r="R1028"/>
      <c r="S1028"/>
      <c r="T1028"/>
      <c r="U1028"/>
      <c r="V1028"/>
      <c r="W1028"/>
    </row>
    <row r="1029" spans="1:23" ht="15" x14ac:dyDescent="0.25">
      <c r="A1029"/>
      <c r="B1029"/>
      <c r="C1029"/>
      <c r="D1029"/>
      <c r="E1029"/>
      <c r="F1029"/>
      <c r="G1029"/>
      <c r="H1029"/>
      <c r="I1029"/>
      <c r="J1029"/>
      <c r="K1029"/>
      <c r="L1029"/>
      <c r="M1029"/>
      <c r="N1029"/>
      <c r="O1029"/>
      <c r="P1029"/>
      <c r="Q1029"/>
      <c r="R1029"/>
      <c r="S1029"/>
      <c r="T1029"/>
      <c r="U1029"/>
      <c r="V1029"/>
      <c r="W1029"/>
    </row>
    <row r="1030" spans="1:23" ht="15" x14ac:dyDescent="0.25">
      <c r="A1030"/>
      <c r="B1030"/>
      <c r="C1030"/>
      <c r="D1030"/>
      <c r="E1030"/>
      <c r="F1030"/>
      <c r="G1030"/>
      <c r="H1030"/>
      <c r="I1030"/>
      <c r="J1030"/>
      <c r="K1030"/>
      <c r="L1030"/>
      <c r="M1030"/>
      <c r="N1030"/>
      <c r="O1030"/>
      <c r="P1030"/>
      <c r="Q1030"/>
      <c r="R1030"/>
      <c r="S1030"/>
      <c r="T1030"/>
      <c r="U1030"/>
      <c r="V1030"/>
      <c r="W1030"/>
    </row>
    <row r="1031" spans="1:23" ht="15" x14ac:dyDescent="0.25">
      <c r="A1031"/>
      <c r="B1031"/>
      <c r="C1031"/>
      <c r="D1031"/>
      <c r="E1031"/>
      <c r="F1031"/>
      <c r="G1031"/>
      <c r="H1031"/>
      <c r="I1031"/>
      <c r="J1031"/>
      <c r="K1031"/>
      <c r="L1031"/>
      <c r="M1031"/>
      <c r="N1031"/>
      <c r="O1031"/>
      <c r="P1031"/>
      <c r="Q1031"/>
      <c r="R1031"/>
      <c r="S1031"/>
      <c r="T1031"/>
      <c r="U1031"/>
      <c r="V1031"/>
      <c r="W1031"/>
    </row>
    <row r="1032" spans="1:23" ht="15" x14ac:dyDescent="0.25">
      <c r="A1032"/>
      <c r="B1032"/>
      <c r="C1032"/>
      <c r="D1032"/>
      <c r="E1032"/>
      <c r="F1032"/>
      <c r="G1032"/>
      <c r="H1032"/>
      <c r="I1032"/>
      <c r="J1032"/>
      <c r="K1032"/>
      <c r="L1032"/>
      <c r="M1032"/>
      <c r="N1032"/>
      <c r="O1032"/>
      <c r="P1032"/>
      <c r="Q1032"/>
      <c r="R1032"/>
      <c r="S1032"/>
      <c r="T1032"/>
      <c r="U1032"/>
      <c r="V1032"/>
      <c r="W1032"/>
    </row>
    <row r="1033" spans="1:23" ht="15" x14ac:dyDescent="0.25">
      <c r="A1033"/>
      <c r="B1033"/>
      <c r="C1033"/>
      <c r="D1033"/>
      <c r="E1033"/>
      <c r="F1033"/>
      <c r="G1033"/>
      <c r="H1033"/>
      <c r="I1033"/>
      <c r="J1033"/>
      <c r="K1033"/>
      <c r="L1033"/>
      <c r="M1033"/>
      <c r="N1033"/>
      <c r="O1033"/>
      <c r="P1033"/>
      <c r="Q1033"/>
      <c r="R1033"/>
      <c r="S1033"/>
      <c r="T1033"/>
      <c r="U1033"/>
      <c r="V1033"/>
      <c r="W1033"/>
    </row>
    <row r="1034" spans="1:23" ht="15" x14ac:dyDescent="0.25">
      <c r="A1034"/>
      <c r="B1034"/>
      <c r="C1034"/>
      <c r="D1034"/>
      <c r="E1034"/>
      <c r="F1034"/>
      <c r="G1034"/>
      <c r="H1034"/>
      <c r="I1034"/>
      <c r="J1034"/>
      <c r="K1034"/>
      <c r="L1034"/>
      <c r="M1034"/>
      <c r="N1034"/>
      <c r="O1034"/>
      <c r="P1034"/>
      <c r="Q1034"/>
      <c r="R1034"/>
      <c r="S1034"/>
      <c r="T1034"/>
      <c r="U1034"/>
      <c r="V1034"/>
      <c r="W1034"/>
    </row>
    <row r="1035" spans="1:23" ht="15" x14ac:dyDescent="0.25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/>
      <c r="P1035"/>
      <c r="Q1035"/>
      <c r="R1035"/>
      <c r="S1035"/>
      <c r="T1035"/>
      <c r="U1035"/>
      <c r="V1035"/>
      <c r="W1035"/>
    </row>
    <row r="1036" spans="1:23" ht="15" x14ac:dyDescent="0.25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/>
      <c r="P1036"/>
      <c r="Q1036"/>
      <c r="R1036"/>
      <c r="S1036"/>
      <c r="T1036"/>
      <c r="U1036"/>
      <c r="V1036"/>
      <c r="W1036"/>
    </row>
    <row r="1037" spans="1:23" ht="15" x14ac:dyDescent="0.25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/>
      <c r="P1037"/>
      <c r="Q1037"/>
      <c r="R1037"/>
      <c r="S1037"/>
      <c r="T1037"/>
      <c r="U1037"/>
      <c r="V1037"/>
      <c r="W1037"/>
    </row>
    <row r="1038" spans="1:23" ht="15" x14ac:dyDescent="0.25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/>
      <c r="P1038"/>
      <c r="Q1038"/>
      <c r="R1038"/>
      <c r="S1038"/>
      <c r="T1038"/>
      <c r="U1038"/>
      <c r="V1038"/>
      <c r="W1038"/>
    </row>
    <row r="1039" spans="1:23" ht="15" x14ac:dyDescent="0.25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/>
      <c r="P1039"/>
      <c r="Q1039"/>
      <c r="R1039"/>
      <c r="S1039"/>
      <c r="T1039"/>
      <c r="U1039"/>
      <c r="V1039"/>
      <c r="W1039"/>
    </row>
    <row r="1040" spans="1:23" ht="15" x14ac:dyDescent="0.25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/>
      <c r="P1040"/>
      <c r="Q1040"/>
      <c r="R1040"/>
      <c r="S1040"/>
      <c r="T1040"/>
      <c r="U1040"/>
      <c r="V1040"/>
      <c r="W1040"/>
    </row>
    <row r="1041" spans="1:23" ht="15" x14ac:dyDescent="0.25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/>
      <c r="P1041"/>
      <c r="Q1041"/>
      <c r="R1041"/>
      <c r="S1041"/>
      <c r="T1041"/>
      <c r="U1041"/>
      <c r="V1041"/>
      <c r="W1041"/>
    </row>
    <row r="1042" spans="1:23" ht="15" x14ac:dyDescent="0.25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/>
      <c r="P1042"/>
      <c r="Q1042"/>
      <c r="R1042"/>
      <c r="S1042"/>
      <c r="T1042"/>
      <c r="U1042"/>
      <c r="V1042"/>
      <c r="W1042"/>
    </row>
    <row r="1043" spans="1:23" ht="15" x14ac:dyDescent="0.25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/>
      <c r="P1043"/>
      <c r="Q1043"/>
      <c r="R1043"/>
      <c r="S1043"/>
      <c r="T1043"/>
      <c r="U1043"/>
      <c r="V1043"/>
      <c r="W1043"/>
    </row>
    <row r="1044" spans="1:23" ht="15" x14ac:dyDescent="0.25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/>
      <c r="P1044"/>
      <c r="Q1044"/>
      <c r="R1044"/>
      <c r="S1044"/>
      <c r="T1044"/>
      <c r="U1044"/>
      <c r="V1044"/>
      <c r="W1044"/>
    </row>
    <row r="1045" spans="1:23" ht="15" x14ac:dyDescent="0.25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/>
      <c r="P1045"/>
      <c r="Q1045"/>
      <c r="R1045"/>
      <c r="S1045"/>
      <c r="T1045"/>
      <c r="U1045"/>
      <c r="V1045"/>
      <c r="W1045"/>
    </row>
    <row r="1046" spans="1:23" ht="15" x14ac:dyDescent="0.25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/>
      <c r="P1046"/>
      <c r="Q1046"/>
      <c r="R1046"/>
      <c r="S1046"/>
      <c r="T1046"/>
      <c r="U1046"/>
      <c r="V1046"/>
      <c r="W1046"/>
    </row>
    <row r="1047" spans="1:23" ht="15" x14ac:dyDescent="0.25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/>
      <c r="P1047"/>
      <c r="Q1047"/>
      <c r="R1047"/>
      <c r="S1047"/>
      <c r="T1047"/>
      <c r="U1047"/>
      <c r="V1047"/>
      <c r="W1047"/>
    </row>
    <row r="1048" spans="1:23" ht="15" x14ac:dyDescent="0.25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/>
      <c r="P1048"/>
      <c r="Q1048"/>
      <c r="R1048"/>
      <c r="S1048"/>
      <c r="T1048"/>
      <c r="U1048"/>
      <c r="V1048"/>
      <c r="W1048"/>
    </row>
    <row r="1049" spans="1:23" ht="15" x14ac:dyDescent="0.25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/>
      <c r="P1049"/>
      <c r="Q1049"/>
      <c r="R1049"/>
      <c r="S1049"/>
      <c r="T1049"/>
      <c r="U1049"/>
      <c r="V1049"/>
      <c r="W1049"/>
    </row>
    <row r="1050" spans="1:23" ht="15" x14ac:dyDescent="0.25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/>
      <c r="P1050"/>
      <c r="Q1050"/>
      <c r="R1050"/>
      <c r="S1050"/>
      <c r="T1050"/>
      <c r="U1050"/>
      <c r="V1050"/>
      <c r="W1050"/>
    </row>
    <row r="1051" spans="1:23" ht="15" x14ac:dyDescent="0.25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/>
      <c r="P1051"/>
      <c r="Q1051"/>
      <c r="R1051"/>
      <c r="S1051"/>
      <c r="T1051"/>
      <c r="U1051"/>
      <c r="V1051"/>
      <c r="W1051"/>
    </row>
    <row r="1052" spans="1:23" ht="15" x14ac:dyDescent="0.25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/>
      <c r="P1052"/>
      <c r="Q1052"/>
      <c r="R1052"/>
      <c r="S1052"/>
      <c r="T1052"/>
      <c r="U1052"/>
      <c r="V1052"/>
      <c r="W1052"/>
    </row>
    <row r="1053" spans="1:23" ht="15" x14ac:dyDescent="0.25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/>
      <c r="P1053"/>
      <c r="Q1053"/>
      <c r="R1053"/>
      <c r="S1053"/>
      <c r="T1053"/>
      <c r="U1053"/>
      <c r="V1053"/>
      <c r="W1053"/>
    </row>
    <row r="1054" spans="1:23" ht="15" x14ac:dyDescent="0.25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/>
      <c r="P1054"/>
      <c r="Q1054"/>
      <c r="R1054"/>
      <c r="S1054"/>
      <c r="T1054"/>
      <c r="U1054"/>
      <c r="V1054"/>
      <c r="W1054"/>
    </row>
    <row r="1055" spans="1:23" ht="15" x14ac:dyDescent="0.25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/>
      <c r="P1055"/>
      <c r="Q1055"/>
      <c r="R1055"/>
      <c r="S1055"/>
      <c r="T1055"/>
      <c r="U1055"/>
      <c r="V1055"/>
      <c r="W1055"/>
    </row>
    <row r="1056" spans="1:23" ht="15" x14ac:dyDescent="0.25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/>
      <c r="P1056"/>
      <c r="Q1056"/>
      <c r="R1056"/>
      <c r="S1056"/>
      <c r="T1056"/>
      <c r="U1056"/>
      <c r="V1056"/>
      <c r="W1056"/>
    </row>
    <row r="1057" spans="1:23" ht="15" x14ac:dyDescent="0.25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/>
      <c r="P1057"/>
      <c r="Q1057"/>
      <c r="R1057"/>
      <c r="S1057"/>
      <c r="T1057"/>
      <c r="U1057"/>
      <c r="V1057"/>
      <c r="W1057"/>
    </row>
    <row r="1058" spans="1:23" ht="15" x14ac:dyDescent="0.25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/>
      <c r="P1058"/>
      <c r="Q1058"/>
      <c r="R1058"/>
      <c r="S1058"/>
      <c r="T1058"/>
      <c r="U1058"/>
      <c r="V1058"/>
      <c r="W1058"/>
    </row>
    <row r="1059" spans="1:23" ht="15" x14ac:dyDescent="0.25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/>
      <c r="P1059"/>
      <c r="Q1059"/>
      <c r="R1059"/>
      <c r="S1059"/>
      <c r="T1059"/>
      <c r="U1059"/>
      <c r="V1059"/>
      <c r="W1059"/>
    </row>
    <row r="1060" spans="1:23" ht="15" x14ac:dyDescent="0.25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/>
      <c r="P1060"/>
      <c r="Q1060"/>
      <c r="R1060"/>
      <c r="S1060"/>
      <c r="T1060"/>
      <c r="U1060"/>
      <c r="V1060"/>
      <c r="W1060"/>
    </row>
    <row r="1061" spans="1:23" ht="15" x14ac:dyDescent="0.25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/>
      <c r="P1061"/>
      <c r="Q1061"/>
      <c r="R1061"/>
      <c r="S1061"/>
      <c r="T1061"/>
      <c r="U1061"/>
      <c r="V1061"/>
      <c r="W1061"/>
    </row>
    <row r="1062" spans="1:23" ht="15" x14ac:dyDescent="0.25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/>
      <c r="P1062"/>
      <c r="Q1062"/>
      <c r="R1062"/>
      <c r="S1062"/>
      <c r="T1062"/>
      <c r="U1062"/>
      <c r="V1062"/>
      <c r="W1062"/>
    </row>
    <row r="1063" spans="1:23" ht="15" x14ac:dyDescent="0.25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/>
      <c r="P1063"/>
      <c r="Q1063"/>
      <c r="R1063"/>
      <c r="S1063"/>
      <c r="T1063"/>
      <c r="U1063"/>
      <c r="V1063"/>
      <c r="W1063"/>
    </row>
    <row r="1064" spans="1:23" ht="15" x14ac:dyDescent="0.25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/>
      <c r="P1064"/>
      <c r="Q1064"/>
      <c r="R1064"/>
      <c r="S1064"/>
      <c r="T1064"/>
      <c r="U1064"/>
      <c r="V1064"/>
      <c r="W1064"/>
    </row>
    <row r="1065" spans="1:23" ht="15" x14ac:dyDescent="0.25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/>
      <c r="P1065"/>
      <c r="Q1065"/>
      <c r="R1065"/>
      <c r="S1065"/>
      <c r="T1065"/>
      <c r="U1065"/>
      <c r="V1065"/>
      <c r="W1065"/>
    </row>
    <row r="1066" spans="1:23" ht="15" x14ac:dyDescent="0.25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/>
      <c r="P1066"/>
      <c r="Q1066"/>
      <c r="R1066"/>
      <c r="S1066"/>
      <c r="T1066"/>
      <c r="U1066"/>
      <c r="V1066"/>
      <c r="W1066"/>
    </row>
    <row r="1067" spans="1:23" ht="15" x14ac:dyDescent="0.25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/>
      <c r="P1067"/>
      <c r="Q1067"/>
      <c r="R1067"/>
      <c r="S1067"/>
      <c r="T1067"/>
      <c r="U1067"/>
      <c r="V1067"/>
      <c r="W1067"/>
    </row>
    <row r="1068" spans="1:23" ht="15" x14ac:dyDescent="0.25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/>
      <c r="P1068"/>
      <c r="Q1068"/>
      <c r="R1068"/>
      <c r="S1068"/>
      <c r="T1068"/>
      <c r="U1068"/>
      <c r="V1068"/>
      <c r="W1068"/>
    </row>
    <row r="1069" spans="1:23" ht="15" x14ac:dyDescent="0.25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/>
      <c r="P1069"/>
      <c r="Q1069"/>
      <c r="R1069"/>
      <c r="S1069"/>
      <c r="T1069"/>
      <c r="U1069"/>
      <c r="V1069"/>
      <c r="W1069"/>
    </row>
    <row r="1070" spans="1:23" ht="15" x14ac:dyDescent="0.25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/>
      <c r="P1070"/>
      <c r="Q1070"/>
      <c r="R1070"/>
      <c r="S1070"/>
      <c r="T1070"/>
      <c r="U1070"/>
      <c r="V1070"/>
      <c r="W1070"/>
    </row>
    <row r="1071" spans="1:23" ht="15" x14ac:dyDescent="0.25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/>
      <c r="P1071"/>
      <c r="Q1071"/>
      <c r="R1071"/>
      <c r="S1071"/>
      <c r="T1071"/>
      <c r="U1071"/>
      <c r="V1071"/>
      <c r="W1071"/>
    </row>
    <row r="1072" spans="1:23" ht="15" x14ac:dyDescent="0.25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/>
      <c r="P1072"/>
      <c r="Q1072"/>
      <c r="R1072"/>
      <c r="S1072"/>
      <c r="T1072"/>
      <c r="U1072"/>
      <c r="V1072"/>
      <c r="W1072"/>
    </row>
    <row r="1073" spans="1:23" ht="15" x14ac:dyDescent="0.25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/>
      <c r="P1073"/>
      <c r="Q1073"/>
      <c r="R1073"/>
      <c r="S1073"/>
      <c r="T1073"/>
      <c r="U1073"/>
      <c r="V1073"/>
      <c r="W1073"/>
    </row>
    <row r="1074" spans="1:23" ht="15" x14ac:dyDescent="0.25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/>
      <c r="P1074"/>
      <c r="Q1074"/>
      <c r="R1074"/>
      <c r="S1074"/>
      <c r="T1074"/>
      <c r="U1074"/>
      <c r="V1074"/>
      <c r="W1074"/>
    </row>
    <row r="1075" spans="1:23" ht="15" x14ac:dyDescent="0.25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/>
      <c r="P1075"/>
      <c r="Q1075"/>
      <c r="R1075"/>
      <c r="S1075"/>
      <c r="T1075"/>
      <c r="U1075"/>
      <c r="V1075"/>
      <c r="W1075"/>
    </row>
    <row r="1076" spans="1:23" ht="15" x14ac:dyDescent="0.25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/>
      <c r="P1076"/>
      <c r="Q1076"/>
      <c r="R1076"/>
      <c r="S1076"/>
      <c r="T1076"/>
      <c r="U1076"/>
      <c r="V1076"/>
      <c r="W1076"/>
    </row>
    <row r="1077" spans="1:23" ht="15" x14ac:dyDescent="0.25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/>
      <c r="P1077"/>
      <c r="Q1077"/>
      <c r="R1077"/>
      <c r="S1077"/>
      <c r="T1077"/>
      <c r="U1077"/>
      <c r="V1077"/>
      <c r="W1077"/>
    </row>
    <row r="1078" spans="1:23" ht="15" x14ac:dyDescent="0.25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/>
      <c r="P1078"/>
      <c r="Q1078"/>
      <c r="R1078"/>
      <c r="S1078"/>
      <c r="T1078"/>
      <c r="U1078"/>
      <c r="V1078"/>
      <c r="W1078"/>
    </row>
    <row r="1079" spans="1:23" ht="15" x14ac:dyDescent="0.25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/>
      <c r="P1079"/>
      <c r="Q1079"/>
      <c r="R1079"/>
      <c r="S1079"/>
      <c r="T1079"/>
      <c r="U1079"/>
      <c r="V1079"/>
      <c r="W1079"/>
    </row>
    <row r="1080" spans="1:23" ht="15" x14ac:dyDescent="0.25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/>
      <c r="P1080"/>
      <c r="Q1080"/>
      <c r="R1080"/>
      <c r="S1080"/>
      <c r="T1080"/>
      <c r="U1080"/>
      <c r="V1080"/>
      <c r="W1080"/>
    </row>
    <row r="1081" spans="1:23" ht="15" x14ac:dyDescent="0.25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/>
      <c r="P1081"/>
      <c r="Q1081"/>
      <c r="R1081"/>
      <c r="S1081"/>
      <c r="T1081"/>
      <c r="U1081"/>
      <c r="V1081"/>
      <c r="W1081"/>
    </row>
    <row r="1082" spans="1:23" ht="15" x14ac:dyDescent="0.25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/>
      <c r="P1082"/>
      <c r="Q1082"/>
      <c r="R1082"/>
      <c r="S1082"/>
      <c r="T1082"/>
      <c r="U1082"/>
      <c r="V1082"/>
      <c r="W1082"/>
    </row>
    <row r="1083" spans="1:23" ht="15" x14ac:dyDescent="0.25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/>
      <c r="P1083"/>
      <c r="Q1083"/>
      <c r="R1083"/>
      <c r="S1083"/>
      <c r="T1083"/>
      <c r="U1083"/>
      <c r="V1083"/>
      <c r="W1083"/>
    </row>
    <row r="1084" spans="1:23" ht="15" x14ac:dyDescent="0.25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/>
      <c r="P1084"/>
      <c r="Q1084"/>
      <c r="R1084"/>
      <c r="S1084"/>
      <c r="T1084"/>
      <c r="U1084"/>
      <c r="V1084"/>
      <c r="W1084"/>
    </row>
    <row r="1085" spans="1:23" ht="15" x14ac:dyDescent="0.25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/>
      <c r="P1085"/>
      <c r="Q1085"/>
      <c r="R1085"/>
      <c r="S1085"/>
      <c r="T1085"/>
      <c r="U1085"/>
      <c r="V1085"/>
      <c r="W1085"/>
    </row>
    <row r="1086" spans="1:23" ht="15" x14ac:dyDescent="0.25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/>
      <c r="P1086"/>
      <c r="Q1086"/>
      <c r="R1086"/>
      <c r="S1086"/>
      <c r="T1086"/>
      <c r="U1086"/>
      <c r="V1086"/>
      <c r="W1086"/>
    </row>
    <row r="1087" spans="1:23" ht="15" x14ac:dyDescent="0.25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/>
      <c r="P1087"/>
      <c r="Q1087"/>
      <c r="R1087"/>
      <c r="S1087"/>
      <c r="T1087"/>
      <c r="U1087"/>
      <c r="V1087"/>
      <c r="W1087"/>
    </row>
    <row r="1088" spans="1:23" ht="15" x14ac:dyDescent="0.25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/>
      <c r="P1088"/>
      <c r="Q1088"/>
      <c r="R1088"/>
      <c r="S1088"/>
      <c r="T1088"/>
      <c r="U1088"/>
      <c r="V1088"/>
      <c r="W1088"/>
    </row>
    <row r="1089" spans="1:23" ht="15" x14ac:dyDescent="0.25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/>
      <c r="P1089"/>
      <c r="Q1089"/>
      <c r="R1089"/>
      <c r="S1089"/>
      <c r="T1089"/>
      <c r="U1089"/>
      <c r="V1089"/>
      <c r="W1089"/>
    </row>
    <row r="1090" spans="1:23" ht="15" x14ac:dyDescent="0.25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/>
      <c r="P1090"/>
      <c r="Q1090"/>
      <c r="R1090"/>
      <c r="S1090"/>
      <c r="T1090"/>
      <c r="U1090"/>
      <c r="V1090"/>
      <c r="W1090"/>
    </row>
    <row r="1091" spans="1:23" ht="15" x14ac:dyDescent="0.25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/>
      <c r="P1091"/>
      <c r="Q1091"/>
      <c r="R1091"/>
      <c r="S1091"/>
      <c r="T1091"/>
      <c r="U1091"/>
      <c r="V1091"/>
      <c r="W1091"/>
    </row>
    <row r="1092" spans="1:23" ht="15" x14ac:dyDescent="0.25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</row>
    <row r="1093" spans="1:23" ht="15" x14ac:dyDescent="0.25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</row>
    <row r="1094" spans="1:23" ht="15" x14ac:dyDescent="0.25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</row>
    <row r="1095" spans="1:23" ht="15" x14ac:dyDescent="0.25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</row>
    <row r="1096" spans="1:23" ht="15" x14ac:dyDescent="0.25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</row>
    <row r="1097" spans="1:23" ht="15" x14ac:dyDescent="0.25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</row>
    <row r="1098" spans="1:23" ht="15" x14ac:dyDescent="0.25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/>
      <c r="P1098"/>
      <c r="Q1098"/>
      <c r="R1098"/>
      <c r="S1098"/>
      <c r="T1098"/>
      <c r="U1098"/>
      <c r="V1098"/>
      <c r="W1098"/>
    </row>
    <row r="1099" spans="1:23" ht="15" x14ac:dyDescent="0.25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/>
      <c r="P1099"/>
      <c r="Q1099"/>
      <c r="R1099"/>
      <c r="S1099"/>
      <c r="T1099"/>
      <c r="U1099"/>
      <c r="V1099"/>
      <c r="W1099"/>
    </row>
    <row r="1100" spans="1:23" ht="15" x14ac:dyDescent="0.25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/>
      <c r="P1100"/>
      <c r="Q1100"/>
      <c r="R1100"/>
      <c r="S1100"/>
      <c r="T1100"/>
      <c r="U1100"/>
      <c r="V1100"/>
      <c r="W1100"/>
    </row>
    <row r="1101" spans="1:23" ht="15" x14ac:dyDescent="0.25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</row>
    <row r="1102" spans="1:23" ht="15" x14ac:dyDescent="0.25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</row>
    <row r="1103" spans="1:23" ht="15" x14ac:dyDescent="0.25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</row>
    <row r="1104" spans="1:23" ht="15" x14ac:dyDescent="0.25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</row>
    <row r="1105" spans="1:23" ht="15" x14ac:dyDescent="0.25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</row>
    <row r="1106" spans="1:23" ht="15" x14ac:dyDescent="0.25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</row>
    <row r="1107" spans="1:23" ht="15" x14ac:dyDescent="0.25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/>
      <c r="P1107"/>
      <c r="Q1107"/>
      <c r="R1107"/>
      <c r="S1107"/>
      <c r="T1107"/>
      <c r="U1107"/>
      <c r="V1107"/>
      <c r="W1107"/>
    </row>
    <row r="1108" spans="1:23" ht="15" x14ac:dyDescent="0.25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/>
      <c r="P1108"/>
      <c r="Q1108"/>
      <c r="R1108"/>
      <c r="S1108"/>
      <c r="T1108"/>
      <c r="U1108"/>
      <c r="V1108"/>
      <c r="W1108"/>
    </row>
    <row r="1109" spans="1:23" ht="15" x14ac:dyDescent="0.25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/>
      <c r="P1109"/>
      <c r="Q1109"/>
      <c r="R1109"/>
      <c r="S1109"/>
      <c r="T1109"/>
      <c r="U1109"/>
      <c r="V1109"/>
      <c r="W1109"/>
    </row>
    <row r="1110" spans="1:23" ht="15" x14ac:dyDescent="0.25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/>
      <c r="P1110"/>
      <c r="Q1110"/>
      <c r="R1110"/>
      <c r="S1110"/>
      <c r="T1110"/>
      <c r="U1110"/>
      <c r="V1110"/>
      <c r="W1110"/>
    </row>
    <row r="1111" spans="1:23" ht="15" x14ac:dyDescent="0.25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</row>
    <row r="1112" spans="1:23" ht="15" x14ac:dyDescent="0.25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</row>
    <row r="1113" spans="1:23" ht="15" x14ac:dyDescent="0.25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</row>
    <row r="1114" spans="1:23" ht="15" x14ac:dyDescent="0.25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</row>
    <row r="1115" spans="1:23" ht="15" x14ac:dyDescent="0.25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</row>
    <row r="1116" spans="1:23" ht="15" x14ac:dyDescent="0.25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</row>
    <row r="1117" spans="1:23" ht="15" x14ac:dyDescent="0.25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</row>
    <row r="1118" spans="1:23" ht="15" x14ac:dyDescent="0.25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</row>
    <row r="1119" spans="1:23" ht="15" x14ac:dyDescent="0.25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</row>
    <row r="1120" spans="1:23" ht="15" x14ac:dyDescent="0.25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</row>
    <row r="1121" spans="1:23" ht="15" x14ac:dyDescent="0.25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</row>
    <row r="1122" spans="1:23" ht="15" x14ac:dyDescent="0.25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</row>
    <row r="1123" spans="1:23" ht="15" x14ac:dyDescent="0.25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</row>
    <row r="1124" spans="1:23" ht="15" x14ac:dyDescent="0.25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</row>
    <row r="1125" spans="1:23" ht="15" x14ac:dyDescent="0.25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</row>
    <row r="1126" spans="1:23" ht="15" x14ac:dyDescent="0.25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/>
      <c r="P1126"/>
      <c r="Q1126"/>
      <c r="R1126"/>
      <c r="S1126"/>
      <c r="T1126"/>
      <c r="U1126"/>
      <c r="V1126"/>
      <c r="W1126"/>
    </row>
    <row r="1127" spans="1:23" ht="15" x14ac:dyDescent="0.25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/>
      <c r="P1127"/>
      <c r="Q1127"/>
      <c r="R1127"/>
      <c r="S1127"/>
      <c r="T1127"/>
      <c r="U1127"/>
      <c r="V1127"/>
      <c r="W1127"/>
    </row>
    <row r="1128" spans="1:23" ht="15" x14ac:dyDescent="0.25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/>
      <c r="P1128"/>
      <c r="Q1128"/>
      <c r="R1128"/>
      <c r="S1128"/>
      <c r="T1128"/>
      <c r="U1128"/>
      <c r="V1128"/>
      <c r="W1128"/>
    </row>
    <row r="1129" spans="1:23" ht="15" x14ac:dyDescent="0.25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/>
      <c r="P1129"/>
      <c r="Q1129"/>
      <c r="R1129"/>
      <c r="S1129"/>
      <c r="T1129"/>
      <c r="U1129"/>
      <c r="V1129"/>
      <c r="W1129"/>
    </row>
    <row r="1130" spans="1:23" ht="15" x14ac:dyDescent="0.25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/>
      <c r="P1130"/>
      <c r="Q1130"/>
      <c r="R1130"/>
      <c r="S1130"/>
      <c r="T1130"/>
      <c r="U1130"/>
      <c r="V1130"/>
      <c r="W1130"/>
    </row>
    <row r="1131" spans="1:23" ht="15" x14ac:dyDescent="0.25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/>
      <c r="P1131"/>
      <c r="Q1131"/>
      <c r="R1131"/>
      <c r="S1131"/>
      <c r="T1131"/>
      <c r="U1131"/>
      <c r="V1131"/>
      <c r="W1131"/>
    </row>
    <row r="1132" spans="1:23" ht="15" x14ac:dyDescent="0.25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/>
      <c r="P1132"/>
      <c r="Q1132"/>
      <c r="R1132"/>
      <c r="S1132"/>
      <c r="T1132"/>
      <c r="U1132"/>
      <c r="V1132"/>
      <c r="W1132"/>
    </row>
    <row r="1133" spans="1:23" ht="15" x14ac:dyDescent="0.25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/>
      <c r="P1133"/>
      <c r="Q1133"/>
      <c r="R1133"/>
      <c r="S1133"/>
      <c r="T1133"/>
      <c r="U1133"/>
      <c r="V1133"/>
      <c r="W1133"/>
    </row>
    <row r="1134" spans="1:23" ht="15" x14ac:dyDescent="0.25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/>
      <c r="P1134"/>
      <c r="Q1134"/>
      <c r="R1134"/>
      <c r="S1134"/>
      <c r="T1134"/>
      <c r="U1134"/>
      <c r="V1134"/>
      <c r="W1134"/>
    </row>
    <row r="1135" spans="1:23" ht="15" x14ac:dyDescent="0.25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/>
      <c r="P1135"/>
      <c r="Q1135"/>
      <c r="R1135"/>
      <c r="S1135"/>
      <c r="T1135"/>
      <c r="U1135"/>
      <c r="V1135"/>
      <c r="W1135"/>
    </row>
    <row r="1136" spans="1:23" ht="15" x14ac:dyDescent="0.25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/>
      <c r="P1136"/>
      <c r="Q1136"/>
      <c r="R1136"/>
      <c r="S1136"/>
      <c r="T1136"/>
      <c r="U1136"/>
      <c r="V1136"/>
      <c r="W1136"/>
    </row>
    <row r="1137" spans="1:23" ht="15" x14ac:dyDescent="0.25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/>
      <c r="P1137"/>
      <c r="Q1137"/>
      <c r="R1137"/>
      <c r="S1137"/>
      <c r="T1137"/>
      <c r="U1137"/>
      <c r="V1137"/>
      <c r="W1137"/>
    </row>
    <row r="1138" spans="1:23" ht="15" x14ac:dyDescent="0.25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/>
      <c r="P1138"/>
      <c r="Q1138"/>
      <c r="R1138"/>
      <c r="S1138"/>
      <c r="T1138"/>
      <c r="U1138"/>
      <c r="V1138"/>
      <c r="W1138"/>
    </row>
    <row r="1139" spans="1:23" ht="15" x14ac:dyDescent="0.25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/>
      <c r="P1139"/>
      <c r="Q1139"/>
      <c r="R1139"/>
      <c r="S1139"/>
      <c r="T1139"/>
      <c r="U1139"/>
      <c r="V1139"/>
      <c r="W1139"/>
    </row>
    <row r="1140" spans="1:23" ht="15" x14ac:dyDescent="0.25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/>
      <c r="P1140"/>
      <c r="Q1140"/>
      <c r="R1140"/>
      <c r="S1140"/>
      <c r="T1140"/>
      <c r="U1140"/>
      <c r="V1140"/>
      <c r="W1140"/>
    </row>
    <row r="1141" spans="1:23" ht="15" x14ac:dyDescent="0.25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/>
      <c r="P1141"/>
      <c r="Q1141"/>
      <c r="R1141"/>
      <c r="S1141"/>
      <c r="T1141"/>
      <c r="U1141"/>
      <c r="V1141"/>
      <c r="W1141"/>
    </row>
    <row r="1142" spans="1:23" ht="15" x14ac:dyDescent="0.25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/>
      <c r="P1142"/>
      <c r="Q1142"/>
      <c r="R1142"/>
      <c r="S1142"/>
      <c r="T1142"/>
      <c r="U1142"/>
      <c r="V1142"/>
      <c r="W1142"/>
    </row>
    <row r="1143" spans="1:23" ht="15" x14ac:dyDescent="0.25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/>
      <c r="P1143"/>
      <c r="Q1143"/>
      <c r="R1143"/>
      <c r="S1143"/>
      <c r="T1143"/>
      <c r="U1143"/>
      <c r="V1143"/>
      <c r="W1143"/>
    </row>
    <row r="1144" spans="1:23" ht="15" x14ac:dyDescent="0.25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/>
      <c r="P1144"/>
      <c r="Q1144"/>
      <c r="R1144"/>
      <c r="S1144"/>
      <c r="T1144"/>
      <c r="U1144"/>
      <c r="V1144"/>
      <c r="W1144"/>
    </row>
    <row r="1145" spans="1:23" ht="15" x14ac:dyDescent="0.25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/>
      <c r="P1145"/>
      <c r="Q1145"/>
      <c r="R1145"/>
      <c r="S1145"/>
      <c r="T1145"/>
      <c r="U1145"/>
      <c r="V1145"/>
      <c r="W1145"/>
    </row>
    <row r="1146" spans="1:23" ht="15" x14ac:dyDescent="0.25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/>
      <c r="P1146"/>
      <c r="Q1146"/>
      <c r="R1146"/>
      <c r="S1146"/>
      <c r="T1146"/>
      <c r="U1146"/>
      <c r="V1146"/>
      <c r="W1146"/>
    </row>
    <row r="1147" spans="1:23" ht="15" x14ac:dyDescent="0.25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/>
      <c r="P1147"/>
      <c r="Q1147"/>
      <c r="R1147"/>
      <c r="S1147"/>
      <c r="T1147"/>
      <c r="U1147"/>
      <c r="V1147"/>
      <c r="W1147"/>
    </row>
    <row r="1148" spans="1:23" ht="15" x14ac:dyDescent="0.25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/>
      <c r="P1148"/>
      <c r="Q1148"/>
      <c r="R1148"/>
      <c r="S1148"/>
      <c r="T1148"/>
      <c r="U1148"/>
      <c r="V1148"/>
      <c r="W1148"/>
    </row>
    <row r="1149" spans="1:23" ht="15" x14ac:dyDescent="0.25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/>
      <c r="P1149"/>
      <c r="Q1149"/>
      <c r="R1149"/>
      <c r="S1149"/>
      <c r="T1149"/>
      <c r="U1149"/>
      <c r="V1149"/>
      <c r="W1149"/>
    </row>
    <row r="1150" spans="1:23" ht="15" x14ac:dyDescent="0.25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/>
      <c r="P1150"/>
      <c r="Q1150"/>
      <c r="R1150"/>
      <c r="S1150"/>
      <c r="T1150"/>
      <c r="U1150"/>
      <c r="V1150"/>
      <c r="W1150"/>
    </row>
    <row r="1151" spans="1:23" ht="15" x14ac:dyDescent="0.25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/>
      <c r="P1151"/>
      <c r="Q1151"/>
      <c r="R1151"/>
      <c r="S1151"/>
      <c r="T1151"/>
      <c r="U1151"/>
      <c r="V1151"/>
      <c r="W1151"/>
    </row>
    <row r="1152" spans="1:23" ht="15" x14ac:dyDescent="0.25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/>
      <c r="P1152"/>
      <c r="Q1152"/>
      <c r="R1152"/>
      <c r="S1152"/>
      <c r="T1152"/>
      <c r="U1152"/>
      <c r="V1152"/>
      <c r="W1152"/>
    </row>
    <row r="1153" spans="1:23" ht="15" x14ac:dyDescent="0.25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/>
      <c r="P1153"/>
      <c r="Q1153"/>
      <c r="R1153"/>
      <c r="S1153"/>
      <c r="T1153"/>
      <c r="U1153"/>
      <c r="V1153"/>
      <c r="W1153"/>
    </row>
    <row r="1154" spans="1:23" ht="15" x14ac:dyDescent="0.25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/>
      <c r="P1154"/>
      <c r="Q1154"/>
      <c r="R1154"/>
      <c r="S1154"/>
      <c r="T1154"/>
      <c r="U1154"/>
      <c r="V1154"/>
      <c r="W1154"/>
    </row>
    <row r="1155" spans="1:23" ht="15" x14ac:dyDescent="0.25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/>
      <c r="P1155"/>
      <c r="Q1155"/>
      <c r="R1155"/>
      <c r="S1155"/>
      <c r="T1155"/>
      <c r="U1155"/>
      <c r="V1155"/>
      <c r="W1155"/>
    </row>
    <row r="1156" spans="1:23" ht="15" x14ac:dyDescent="0.25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/>
      <c r="P1156"/>
      <c r="Q1156"/>
      <c r="R1156"/>
      <c r="S1156"/>
      <c r="T1156"/>
      <c r="U1156"/>
      <c r="V1156"/>
      <c r="W1156"/>
    </row>
    <row r="1157" spans="1:23" ht="15" x14ac:dyDescent="0.25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/>
      <c r="P1157"/>
      <c r="Q1157"/>
      <c r="R1157"/>
      <c r="S1157"/>
      <c r="T1157"/>
      <c r="U1157"/>
      <c r="V1157"/>
      <c r="W1157"/>
    </row>
    <row r="1158" spans="1:23" ht="15" x14ac:dyDescent="0.25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/>
      <c r="P1158"/>
      <c r="Q1158"/>
      <c r="R1158"/>
      <c r="S1158"/>
      <c r="T1158"/>
      <c r="U1158"/>
      <c r="V1158"/>
      <c r="W1158"/>
    </row>
    <row r="1159" spans="1:23" ht="15" x14ac:dyDescent="0.25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/>
      <c r="P1159"/>
      <c r="Q1159"/>
      <c r="R1159"/>
      <c r="S1159"/>
      <c r="T1159"/>
      <c r="U1159"/>
      <c r="V1159"/>
      <c r="W1159"/>
    </row>
    <row r="1160" spans="1:23" ht="15" x14ac:dyDescent="0.25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/>
      <c r="P1160"/>
      <c r="Q1160"/>
      <c r="R1160"/>
      <c r="S1160"/>
      <c r="T1160"/>
      <c r="U1160"/>
      <c r="V1160"/>
      <c r="W1160"/>
    </row>
    <row r="1161" spans="1:23" ht="15" x14ac:dyDescent="0.25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/>
      <c r="P1161"/>
      <c r="Q1161"/>
      <c r="R1161"/>
      <c r="S1161"/>
      <c r="T1161"/>
      <c r="U1161"/>
      <c r="V1161"/>
      <c r="W1161"/>
    </row>
    <row r="1162" spans="1:23" ht="15" x14ac:dyDescent="0.25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/>
      <c r="P1162"/>
      <c r="Q1162"/>
      <c r="R1162"/>
      <c r="S1162"/>
      <c r="T1162"/>
      <c r="U1162"/>
      <c r="V1162"/>
      <c r="W1162"/>
    </row>
    <row r="1163" spans="1:23" ht="15" x14ac:dyDescent="0.25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/>
      <c r="P1163"/>
      <c r="Q1163"/>
      <c r="R1163"/>
      <c r="S1163"/>
      <c r="T1163"/>
      <c r="U1163"/>
      <c r="V1163"/>
      <c r="W1163"/>
    </row>
    <row r="1164" spans="1:23" ht="15" x14ac:dyDescent="0.25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/>
      <c r="P1164"/>
      <c r="Q1164"/>
      <c r="R1164"/>
      <c r="S1164"/>
      <c r="T1164"/>
      <c r="U1164"/>
      <c r="V1164"/>
      <c r="W1164"/>
    </row>
    <row r="1165" spans="1:23" ht="15" x14ac:dyDescent="0.25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/>
      <c r="P1165"/>
      <c r="Q1165"/>
      <c r="R1165"/>
      <c r="S1165"/>
      <c r="T1165"/>
      <c r="U1165"/>
      <c r="V1165"/>
      <c r="W1165"/>
    </row>
    <row r="1166" spans="1:23" ht="15" x14ac:dyDescent="0.25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/>
      <c r="P1166"/>
      <c r="Q1166"/>
      <c r="R1166"/>
      <c r="S1166"/>
      <c r="T1166"/>
      <c r="U1166"/>
      <c r="V1166"/>
      <c r="W1166"/>
    </row>
    <row r="1167" spans="1:23" ht="15" x14ac:dyDescent="0.25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/>
      <c r="P1167"/>
      <c r="Q1167"/>
      <c r="R1167"/>
      <c r="S1167"/>
      <c r="T1167"/>
      <c r="U1167"/>
      <c r="V1167"/>
      <c r="W1167"/>
    </row>
    <row r="1168" spans="1:23" ht="15" x14ac:dyDescent="0.25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/>
      <c r="P1168"/>
      <c r="Q1168"/>
      <c r="R1168"/>
      <c r="S1168"/>
      <c r="T1168"/>
      <c r="U1168"/>
      <c r="V1168"/>
      <c r="W1168"/>
    </row>
    <row r="1169" spans="1:23" ht="15" x14ac:dyDescent="0.25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/>
      <c r="P1169"/>
      <c r="Q1169"/>
      <c r="R1169"/>
      <c r="S1169"/>
      <c r="T1169"/>
      <c r="U1169"/>
      <c r="V1169"/>
      <c r="W1169"/>
    </row>
    <row r="1170" spans="1:23" ht="15" x14ac:dyDescent="0.25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/>
      <c r="P1170"/>
      <c r="Q1170"/>
      <c r="R1170"/>
      <c r="S1170"/>
      <c r="T1170"/>
      <c r="U1170"/>
      <c r="V1170"/>
      <c r="W1170"/>
    </row>
    <row r="1171" spans="1:23" ht="15" x14ac:dyDescent="0.25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/>
      <c r="P1171"/>
      <c r="Q1171"/>
      <c r="R1171"/>
      <c r="S1171"/>
      <c r="T1171"/>
      <c r="U1171"/>
      <c r="V1171"/>
      <c r="W1171"/>
    </row>
    <row r="1172" spans="1:23" ht="15" x14ac:dyDescent="0.25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/>
      <c r="P1172"/>
      <c r="Q1172"/>
      <c r="R1172"/>
      <c r="S1172"/>
      <c r="T1172"/>
      <c r="U1172"/>
      <c r="V1172"/>
      <c r="W1172"/>
    </row>
    <row r="1173" spans="1:23" ht="15" x14ac:dyDescent="0.25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/>
      <c r="P1173"/>
      <c r="Q1173"/>
      <c r="R1173"/>
      <c r="S1173"/>
      <c r="T1173"/>
      <c r="U1173"/>
      <c r="V1173"/>
      <c r="W1173"/>
    </row>
    <row r="1174" spans="1:23" ht="15" x14ac:dyDescent="0.25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/>
      <c r="P1174"/>
      <c r="Q1174"/>
      <c r="R1174"/>
      <c r="S1174"/>
      <c r="T1174"/>
      <c r="U1174"/>
      <c r="V1174"/>
      <c r="W1174"/>
    </row>
    <row r="1175" spans="1:23" ht="15" x14ac:dyDescent="0.25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/>
      <c r="P1175"/>
      <c r="Q1175"/>
      <c r="R1175"/>
      <c r="S1175"/>
      <c r="T1175"/>
      <c r="U1175"/>
      <c r="V1175"/>
      <c r="W1175"/>
    </row>
    <row r="1176" spans="1:23" ht="15" x14ac:dyDescent="0.25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/>
      <c r="P1176"/>
      <c r="Q1176"/>
      <c r="R1176"/>
      <c r="S1176"/>
      <c r="T1176"/>
      <c r="U1176"/>
      <c r="V1176"/>
      <c r="W1176"/>
    </row>
    <row r="1177" spans="1:23" ht="15" x14ac:dyDescent="0.25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/>
      <c r="P1177"/>
      <c r="Q1177"/>
      <c r="R1177"/>
      <c r="S1177"/>
      <c r="T1177"/>
      <c r="U1177"/>
      <c r="V1177"/>
      <c r="W1177"/>
    </row>
    <row r="1178" spans="1:23" ht="15" x14ac:dyDescent="0.25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/>
      <c r="P1178"/>
      <c r="Q1178"/>
      <c r="R1178"/>
      <c r="S1178"/>
      <c r="T1178"/>
      <c r="U1178"/>
      <c r="V1178"/>
      <c r="W1178"/>
    </row>
    <row r="1179" spans="1:23" ht="15" x14ac:dyDescent="0.25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/>
      <c r="P1179"/>
      <c r="Q1179"/>
      <c r="R1179"/>
      <c r="S1179"/>
      <c r="T1179"/>
      <c r="U1179"/>
      <c r="V1179"/>
      <c r="W1179"/>
    </row>
    <row r="1180" spans="1:23" ht="15" x14ac:dyDescent="0.25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/>
      <c r="P1180"/>
      <c r="Q1180"/>
      <c r="R1180"/>
      <c r="S1180"/>
      <c r="T1180"/>
      <c r="U1180"/>
      <c r="V1180"/>
      <c r="W1180"/>
    </row>
    <row r="1181" spans="1:23" ht="15" x14ac:dyDescent="0.25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/>
      <c r="P1181"/>
      <c r="Q1181"/>
      <c r="R1181"/>
      <c r="S1181"/>
      <c r="T1181"/>
      <c r="U1181"/>
      <c r="V1181"/>
      <c r="W1181"/>
    </row>
    <row r="1182" spans="1:23" ht="15" x14ac:dyDescent="0.25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/>
      <c r="P1182"/>
      <c r="Q1182"/>
      <c r="R1182"/>
      <c r="S1182"/>
      <c r="T1182"/>
      <c r="U1182"/>
      <c r="V1182"/>
      <c r="W1182"/>
    </row>
    <row r="1183" spans="1:23" ht="15" x14ac:dyDescent="0.25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/>
      <c r="P1183"/>
      <c r="Q1183"/>
      <c r="R1183"/>
      <c r="S1183"/>
      <c r="T1183"/>
      <c r="U1183"/>
      <c r="V1183"/>
      <c r="W1183"/>
    </row>
    <row r="1184" spans="1:23" ht="15" x14ac:dyDescent="0.25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/>
      <c r="P1184"/>
      <c r="Q1184"/>
      <c r="R1184"/>
      <c r="S1184"/>
      <c r="T1184"/>
      <c r="U1184"/>
      <c r="V1184"/>
      <c r="W1184"/>
    </row>
    <row r="1185" spans="1:23" ht="15" x14ac:dyDescent="0.25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/>
      <c r="P1185"/>
      <c r="Q1185"/>
      <c r="R1185"/>
      <c r="S1185"/>
      <c r="T1185"/>
      <c r="U1185"/>
      <c r="V1185"/>
      <c r="W1185"/>
    </row>
    <row r="1186" spans="1:23" ht="15" x14ac:dyDescent="0.25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/>
      <c r="P1186"/>
      <c r="Q1186"/>
      <c r="R1186"/>
      <c r="S1186"/>
      <c r="T1186"/>
      <c r="U1186"/>
      <c r="V1186"/>
      <c r="W1186"/>
    </row>
    <row r="1187" spans="1:23" ht="15" x14ac:dyDescent="0.25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/>
      <c r="P1187"/>
      <c r="Q1187"/>
    </row>
    <row r="1188" spans="1:23" ht="15" x14ac:dyDescent="0.25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/>
      <c r="P1188"/>
      <c r="Q1188"/>
    </row>
    <row r="1189" spans="1:23" ht="15" x14ac:dyDescent="0.25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/>
      <c r="P1189"/>
      <c r="Q1189"/>
    </row>
    <row r="1190" spans="1:23" ht="15" x14ac:dyDescent="0.25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/>
      <c r="P1190"/>
      <c r="Q1190"/>
    </row>
    <row r="1191" spans="1:23" ht="15" x14ac:dyDescent="0.25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/>
      <c r="P1191"/>
      <c r="Q1191"/>
    </row>
    <row r="1192" spans="1:23" ht="15" x14ac:dyDescent="0.25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/>
      <c r="P1192"/>
      <c r="Q1192"/>
    </row>
    <row r="1193" spans="1:23" ht="15" x14ac:dyDescent="0.25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/>
      <c r="P1193"/>
      <c r="Q1193"/>
    </row>
    <row r="1194" spans="1:23" ht="15" x14ac:dyDescent="0.25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/>
      <c r="P1194"/>
      <c r="Q1194"/>
    </row>
    <row r="1195" spans="1:23" ht="15" x14ac:dyDescent="0.25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/>
      <c r="P1195"/>
      <c r="Q1195"/>
    </row>
    <row r="1196" spans="1:23" ht="15" x14ac:dyDescent="0.25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/>
      <c r="P1196"/>
      <c r="Q1196"/>
    </row>
    <row r="1197" spans="1:23" ht="15" x14ac:dyDescent="0.25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/>
      <c r="P1197"/>
      <c r="Q1197"/>
    </row>
    <row r="1198" spans="1:23" ht="15" x14ac:dyDescent="0.25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/>
      <c r="P1198"/>
      <c r="Q1198"/>
    </row>
    <row r="1199" spans="1:23" ht="15" x14ac:dyDescent="0.25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/>
      <c r="P1199"/>
      <c r="Q1199"/>
    </row>
    <row r="1200" spans="1:23" ht="15" x14ac:dyDescent="0.25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/>
      <c r="P1200"/>
      <c r="Q1200"/>
    </row>
    <row r="1201" spans="1:17" ht="15" x14ac:dyDescent="0.25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/>
      <c r="P1201"/>
      <c r="Q1201"/>
    </row>
    <row r="1202" spans="1:17" ht="15" x14ac:dyDescent="0.25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/>
      <c r="P1202"/>
      <c r="Q1202"/>
    </row>
    <row r="1203" spans="1:17" ht="15" x14ac:dyDescent="0.25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/>
      <c r="P1203"/>
      <c r="Q1203"/>
    </row>
    <row r="1204" spans="1:17" ht="15" x14ac:dyDescent="0.25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/>
      <c r="P1204"/>
      <c r="Q1204"/>
    </row>
    <row r="1205" spans="1:17" ht="15" x14ac:dyDescent="0.25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/>
      <c r="P1205"/>
      <c r="Q1205"/>
    </row>
    <row r="1206" spans="1:17" ht="15" x14ac:dyDescent="0.25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/>
      <c r="P1206"/>
      <c r="Q1206"/>
    </row>
    <row r="1207" spans="1:17" ht="15" x14ac:dyDescent="0.25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/>
      <c r="P1207"/>
      <c r="Q1207"/>
    </row>
    <row r="1208" spans="1:17" ht="15" x14ac:dyDescent="0.25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/>
      <c r="P1208"/>
      <c r="Q1208"/>
    </row>
    <row r="1209" spans="1:17" ht="15" x14ac:dyDescent="0.25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/>
      <c r="P1209"/>
      <c r="Q1209"/>
    </row>
    <row r="1210" spans="1:17" ht="15" x14ac:dyDescent="0.25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/>
      <c r="P1210"/>
      <c r="Q1210"/>
    </row>
    <row r="1211" spans="1:17" ht="15" x14ac:dyDescent="0.25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/>
      <c r="P1211"/>
      <c r="Q1211"/>
    </row>
    <row r="1212" spans="1:17" ht="15" x14ac:dyDescent="0.25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/>
      <c r="P1212"/>
      <c r="Q1212"/>
    </row>
    <row r="1213" spans="1:17" ht="15" x14ac:dyDescent="0.25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/>
      <c r="P1213"/>
      <c r="Q1213"/>
    </row>
    <row r="1214" spans="1:17" ht="15" x14ac:dyDescent="0.25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/>
      <c r="P1214"/>
      <c r="Q1214"/>
    </row>
    <row r="1215" spans="1:17" ht="15" x14ac:dyDescent="0.25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/>
      <c r="P1215"/>
      <c r="Q1215"/>
    </row>
    <row r="1216" spans="1:17" ht="15" x14ac:dyDescent="0.25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/>
      <c r="P1216"/>
      <c r="Q1216"/>
    </row>
    <row r="1217" spans="1:17" ht="15" x14ac:dyDescent="0.25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/>
      <c r="P1217"/>
      <c r="Q1217"/>
    </row>
    <row r="1218" spans="1:17" ht="15" x14ac:dyDescent="0.25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/>
      <c r="P1218"/>
      <c r="Q1218"/>
    </row>
    <row r="1219" spans="1:17" ht="15" x14ac:dyDescent="0.25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/>
      <c r="P1219"/>
      <c r="Q1219"/>
    </row>
    <row r="1220" spans="1:17" ht="15" x14ac:dyDescent="0.25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/>
      <c r="P1220"/>
      <c r="Q1220"/>
    </row>
    <row r="1221" spans="1:17" ht="15" x14ac:dyDescent="0.25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/>
      <c r="P1221"/>
      <c r="Q1221"/>
    </row>
    <row r="1222" spans="1:17" ht="15" x14ac:dyDescent="0.25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/>
      <c r="P1222"/>
      <c r="Q1222"/>
    </row>
    <row r="1223" spans="1:17" ht="15" x14ac:dyDescent="0.25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/>
      <c r="P1223"/>
      <c r="Q1223"/>
    </row>
    <row r="1224" spans="1:17" ht="15" x14ac:dyDescent="0.25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/>
      <c r="P1224"/>
      <c r="Q1224"/>
    </row>
    <row r="1225" spans="1:17" ht="15" x14ac:dyDescent="0.25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/>
      <c r="P1225"/>
      <c r="Q1225"/>
    </row>
    <row r="1226" spans="1:17" ht="15" x14ac:dyDescent="0.25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/>
      <c r="P1226"/>
      <c r="Q1226"/>
    </row>
    <row r="1227" spans="1:17" ht="15" x14ac:dyDescent="0.25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/>
      <c r="P1227"/>
      <c r="Q1227"/>
    </row>
    <row r="1228" spans="1:17" ht="15" x14ac:dyDescent="0.25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/>
      <c r="P1228"/>
      <c r="Q1228"/>
    </row>
    <row r="1229" spans="1:17" ht="15" x14ac:dyDescent="0.25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/>
      <c r="P1229"/>
      <c r="Q1229"/>
    </row>
    <row r="1230" spans="1:17" ht="15" x14ac:dyDescent="0.25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/>
      <c r="P1230"/>
      <c r="Q1230"/>
    </row>
    <row r="1231" spans="1:17" ht="15" x14ac:dyDescent="0.25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/>
      <c r="P1231"/>
      <c r="Q1231"/>
    </row>
    <row r="1232" spans="1:17" ht="15" x14ac:dyDescent="0.25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/>
      <c r="P1232"/>
      <c r="Q1232"/>
    </row>
    <row r="1233" spans="1:17" ht="15" x14ac:dyDescent="0.25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/>
      <c r="P1233"/>
      <c r="Q1233"/>
    </row>
    <row r="1234" spans="1:17" ht="15" x14ac:dyDescent="0.25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/>
      <c r="P1234"/>
      <c r="Q1234"/>
    </row>
    <row r="1235" spans="1:17" ht="15" x14ac:dyDescent="0.25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/>
      <c r="P1235"/>
      <c r="Q1235"/>
    </row>
    <row r="1236" spans="1:17" ht="15" x14ac:dyDescent="0.25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/>
      <c r="P1236"/>
      <c r="Q1236"/>
    </row>
    <row r="1237" spans="1:17" ht="15" x14ac:dyDescent="0.25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/>
      <c r="P1237"/>
      <c r="Q1237"/>
    </row>
    <row r="1238" spans="1:17" ht="15" x14ac:dyDescent="0.25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/>
      <c r="P1238"/>
      <c r="Q1238"/>
    </row>
    <row r="1239" spans="1:17" ht="15" x14ac:dyDescent="0.25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/>
      <c r="P1239"/>
      <c r="Q1239"/>
    </row>
    <row r="1240" spans="1:17" ht="15" x14ac:dyDescent="0.25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/>
      <c r="P1240"/>
      <c r="Q1240"/>
    </row>
    <row r="1241" spans="1:17" ht="15" x14ac:dyDescent="0.25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/>
      <c r="P1241"/>
      <c r="Q1241"/>
    </row>
    <row r="1242" spans="1:17" ht="15" x14ac:dyDescent="0.25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/>
      <c r="P1242"/>
      <c r="Q1242"/>
    </row>
    <row r="1243" spans="1:17" ht="15" x14ac:dyDescent="0.25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/>
      <c r="P1243"/>
      <c r="Q1243"/>
    </row>
    <row r="1244" spans="1:17" ht="15" x14ac:dyDescent="0.25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/>
      <c r="P1244"/>
      <c r="Q1244"/>
    </row>
    <row r="1245" spans="1:17" ht="15" x14ac:dyDescent="0.25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/>
      <c r="P1245"/>
      <c r="Q1245"/>
    </row>
    <row r="1246" spans="1:17" ht="15" x14ac:dyDescent="0.25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/>
      <c r="P1246"/>
      <c r="Q1246"/>
    </row>
    <row r="1247" spans="1:17" ht="15" x14ac:dyDescent="0.25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/>
      <c r="P1247"/>
      <c r="Q1247"/>
    </row>
    <row r="1248" spans="1:17" ht="15" x14ac:dyDescent="0.25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/>
      <c r="P1248"/>
      <c r="Q1248"/>
    </row>
    <row r="1249" spans="1:17" ht="15" x14ac:dyDescent="0.25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/>
      <c r="P1249"/>
      <c r="Q1249"/>
    </row>
    <row r="1250" spans="1:17" ht="15" x14ac:dyDescent="0.25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/>
      <c r="P1250"/>
      <c r="Q1250"/>
    </row>
    <row r="1251" spans="1:17" ht="15" x14ac:dyDescent="0.25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/>
      <c r="P1251"/>
      <c r="Q1251"/>
    </row>
    <row r="1252" spans="1:17" ht="15" x14ac:dyDescent="0.25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/>
      <c r="P1252"/>
      <c r="Q1252"/>
    </row>
    <row r="1253" spans="1:17" ht="15" x14ac:dyDescent="0.25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/>
      <c r="P1253"/>
      <c r="Q1253"/>
    </row>
    <row r="1254" spans="1:17" ht="15" x14ac:dyDescent="0.25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/>
      <c r="P1254"/>
      <c r="Q1254"/>
    </row>
    <row r="1255" spans="1:17" ht="15" x14ac:dyDescent="0.25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/>
      <c r="P1255"/>
      <c r="Q1255"/>
    </row>
    <row r="1256" spans="1:17" ht="15" x14ac:dyDescent="0.25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/>
      <c r="P1256"/>
      <c r="Q1256"/>
    </row>
    <row r="1257" spans="1:17" ht="15" x14ac:dyDescent="0.25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/>
      <c r="P1257"/>
      <c r="Q1257"/>
    </row>
    <row r="1258" spans="1:17" ht="15" x14ac:dyDescent="0.25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/>
      <c r="P1258"/>
      <c r="Q1258"/>
    </row>
    <row r="1259" spans="1:17" ht="15" x14ac:dyDescent="0.25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/>
      <c r="P1259"/>
      <c r="Q1259"/>
    </row>
    <row r="1260" spans="1:17" ht="15" x14ac:dyDescent="0.25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/>
      <c r="P1260"/>
      <c r="Q1260"/>
    </row>
    <row r="1261" spans="1:17" ht="15" x14ac:dyDescent="0.25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/>
      <c r="P1261"/>
      <c r="Q1261"/>
    </row>
    <row r="1262" spans="1:17" ht="15" x14ac:dyDescent="0.25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/>
      <c r="P1262"/>
      <c r="Q1262"/>
    </row>
    <row r="1263" spans="1:17" ht="15" x14ac:dyDescent="0.25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/>
      <c r="P1263"/>
      <c r="Q1263"/>
    </row>
    <row r="1264" spans="1:17" ht="15" x14ac:dyDescent="0.25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/>
      <c r="P1264"/>
      <c r="Q1264"/>
    </row>
    <row r="1265" spans="1:17" ht="15" x14ac:dyDescent="0.25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/>
      <c r="P1265"/>
      <c r="Q1265"/>
    </row>
    <row r="1266" spans="1:17" ht="15" x14ac:dyDescent="0.25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/>
      <c r="P1266"/>
      <c r="Q1266"/>
    </row>
    <row r="1267" spans="1:17" ht="15" x14ac:dyDescent="0.25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/>
      <c r="P1267"/>
      <c r="Q1267"/>
    </row>
    <row r="1268" spans="1:17" ht="15" x14ac:dyDescent="0.25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/>
      <c r="P1268"/>
      <c r="Q1268"/>
    </row>
    <row r="1269" spans="1:17" ht="15" x14ac:dyDescent="0.25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/>
      <c r="P1269"/>
      <c r="Q1269"/>
    </row>
    <row r="1270" spans="1:17" ht="15" x14ac:dyDescent="0.25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/>
      <c r="P1270"/>
      <c r="Q1270"/>
    </row>
    <row r="1271" spans="1:17" ht="15" x14ac:dyDescent="0.25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/>
      <c r="P1271"/>
      <c r="Q1271"/>
    </row>
    <row r="1272" spans="1:17" ht="15" x14ac:dyDescent="0.25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/>
      <c r="P1272"/>
      <c r="Q1272"/>
    </row>
    <row r="1273" spans="1:17" ht="15" x14ac:dyDescent="0.25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/>
      <c r="P1273"/>
      <c r="Q1273"/>
    </row>
    <row r="1274" spans="1:17" ht="15" x14ac:dyDescent="0.25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/>
      <c r="P1274"/>
      <c r="Q1274"/>
    </row>
    <row r="1275" spans="1:17" ht="15" x14ac:dyDescent="0.25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/>
      <c r="P1275"/>
      <c r="Q1275"/>
    </row>
    <row r="1276" spans="1:17" ht="15" x14ac:dyDescent="0.25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/>
      <c r="P1276"/>
      <c r="Q1276"/>
    </row>
    <row r="1277" spans="1:17" ht="15" x14ac:dyDescent="0.25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/>
      <c r="P1277"/>
      <c r="Q1277"/>
    </row>
    <row r="1278" spans="1:17" ht="15" x14ac:dyDescent="0.25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/>
      <c r="P1278"/>
      <c r="Q1278"/>
    </row>
    <row r="1279" spans="1:17" ht="15" x14ac:dyDescent="0.25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/>
      <c r="P1279"/>
      <c r="Q1279"/>
    </row>
    <row r="1280" spans="1:17" ht="15" x14ac:dyDescent="0.25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/>
      <c r="P1280"/>
      <c r="Q1280"/>
    </row>
    <row r="1281" spans="1:17" ht="15" x14ac:dyDescent="0.25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/>
      <c r="P1281"/>
      <c r="Q1281"/>
    </row>
    <row r="1282" spans="1:17" ht="15" x14ac:dyDescent="0.25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/>
      <c r="P1282"/>
      <c r="Q1282"/>
    </row>
    <row r="1283" spans="1:17" ht="15" x14ac:dyDescent="0.25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/>
      <c r="P1283"/>
      <c r="Q1283"/>
    </row>
    <row r="1284" spans="1:17" ht="15" x14ac:dyDescent="0.25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/>
      <c r="P1284"/>
      <c r="Q1284"/>
    </row>
    <row r="1285" spans="1:17" ht="15" x14ac:dyDescent="0.25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/>
      <c r="P1285"/>
      <c r="Q1285"/>
    </row>
    <row r="1286" spans="1:17" ht="15" x14ac:dyDescent="0.25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/>
      <c r="P1286"/>
      <c r="Q1286"/>
    </row>
    <row r="1287" spans="1:17" ht="15" x14ac:dyDescent="0.25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/>
      <c r="P1287"/>
      <c r="Q1287"/>
    </row>
    <row r="1288" spans="1:17" ht="15" x14ac:dyDescent="0.25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/>
      <c r="P1288"/>
      <c r="Q1288"/>
    </row>
    <row r="1289" spans="1:17" ht="15" x14ac:dyDescent="0.25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/>
      <c r="P1289"/>
      <c r="Q1289"/>
    </row>
    <row r="1290" spans="1:17" ht="15" x14ac:dyDescent="0.25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/>
      <c r="P1290"/>
      <c r="Q1290"/>
    </row>
    <row r="1291" spans="1:17" ht="15" x14ac:dyDescent="0.25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/>
      <c r="P1291"/>
      <c r="Q1291"/>
    </row>
    <row r="1292" spans="1:17" ht="15" x14ac:dyDescent="0.25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/>
      <c r="P1292"/>
      <c r="Q1292"/>
    </row>
    <row r="1293" spans="1:17" ht="15" x14ac:dyDescent="0.25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/>
      <c r="P1293"/>
      <c r="Q1293"/>
    </row>
    <row r="1294" spans="1:17" ht="15" x14ac:dyDescent="0.25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/>
      <c r="P1294"/>
      <c r="Q1294"/>
    </row>
    <row r="1295" spans="1:17" ht="15" x14ac:dyDescent="0.25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/>
      <c r="P1295"/>
      <c r="Q1295"/>
    </row>
    <row r="1296" spans="1:17" ht="15" x14ac:dyDescent="0.25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/>
      <c r="P1296"/>
      <c r="Q1296"/>
    </row>
    <row r="1297" spans="1:17" ht="15" x14ac:dyDescent="0.25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/>
      <c r="P1297"/>
      <c r="Q1297"/>
    </row>
    <row r="1298" spans="1:17" ht="15" x14ac:dyDescent="0.25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/>
      <c r="P1298"/>
      <c r="Q1298"/>
    </row>
    <row r="1299" spans="1:17" ht="15" x14ac:dyDescent="0.25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/>
      <c r="P1299"/>
      <c r="Q1299"/>
    </row>
    <row r="1300" spans="1:17" ht="15" x14ac:dyDescent="0.25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/>
      <c r="P1300"/>
      <c r="Q1300"/>
    </row>
    <row r="1301" spans="1:17" ht="15" x14ac:dyDescent="0.25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/>
      <c r="P1301"/>
      <c r="Q1301"/>
    </row>
    <row r="1302" spans="1:17" ht="15" x14ac:dyDescent="0.25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/>
      <c r="P1302"/>
      <c r="Q1302"/>
    </row>
    <row r="1303" spans="1:17" ht="15" x14ac:dyDescent="0.25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/>
      <c r="P1303"/>
      <c r="Q1303"/>
    </row>
    <row r="1304" spans="1:17" ht="15" x14ac:dyDescent="0.25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/>
      <c r="P1304"/>
      <c r="Q1304"/>
    </row>
    <row r="1305" spans="1:17" ht="15" x14ac:dyDescent="0.25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/>
      <c r="P1305"/>
      <c r="Q1305"/>
    </row>
    <row r="1306" spans="1:17" ht="15" x14ac:dyDescent="0.25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/>
      <c r="P1306"/>
      <c r="Q1306"/>
    </row>
    <row r="1307" spans="1:17" ht="15" x14ac:dyDescent="0.25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/>
      <c r="P1307"/>
      <c r="Q1307"/>
    </row>
    <row r="1308" spans="1:17" ht="15" x14ac:dyDescent="0.25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/>
      <c r="P1308"/>
      <c r="Q1308"/>
    </row>
    <row r="1309" spans="1:17" ht="15" x14ac:dyDescent="0.25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/>
      <c r="P1309"/>
      <c r="Q1309"/>
    </row>
    <row r="1310" spans="1:17" ht="15" x14ac:dyDescent="0.25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/>
      <c r="P1310"/>
      <c r="Q1310"/>
    </row>
    <row r="1311" spans="1:17" ht="15" x14ac:dyDescent="0.25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/>
      <c r="P1311"/>
      <c r="Q1311"/>
    </row>
    <row r="1312" spans="1:17" ht="15" x14ac:dyDescent="0.25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/>
      <c r="P1312"/>
      <c r="Q1312"/>
    </row>
    <row r="1313" spans="1:17" ht="15" x14ac:dyDescent="0.25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/>
      <c r="P1313"/>
      <c r="Q1313"/>
    </row>
    <row r="1314" spans="1:17" ht="15" x14ac:dyDescent="0.25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/>
      <c r="P1314"/>
      <c r="Q1314"/>
    </row>
    <row r="1315" spans="1:17" ht="15" x14ac:dyDescent="0.25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/>
      <c r="P1315"/>
      <c r="Q1315"/>
    </row>
    <row r="1316" spans="1:17" ht="15" x14ac:dyDescent="0.25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/>
      <c r="P1316"/>
      <c r="Q1316"/>
    </row>
    <row r="1317" spans="1:17" ht="15" x14ac:dyDescent="0.25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/>
      <c r="P1317"/>
      <c r="Q1317"/>
    </row>
    <row r="1318" spans="1:17" ht="15" x14ac:dyDescent="0.25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/>
      <c r="P1318"/>
      <c r="Q1318"/>
    </row>
    <row r="1319" spans="1:17" ht="15" x14ac:dyDescent="0.25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/>
      <c r="P1319"/>
      <c r="Q1319"/>
    </row>
    <row r="1320" spans="1:17" ht="15" x14ac:dyDescent="0.25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/>
      <c r="P1320"/>
      <c r="Q1320"/>
    </row>
    <row r="1321" spans="1:17" ht="15" x14ac:dyDescent="0.25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/>
      <c r="P1321"/>
      <c r="Q1321"/>
    </row>
    <row r="1322" spans="1:17" ht="15" x14ac:dyDescent="0.25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/>
      <c r="P1322"/>
      <c r="Q1322"/>
    </row>
    <row r="1323" spans="1:17" ht="15" x14ac:dyDescent="0.25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/>
      <c r="P1323"/>
      <c r="Q1323"/>
    </row>
    <row r="1324" spans="1:17" ht="15" x14ac:dyDescent="0.25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/>
      <c r="P1324"/>
      <c r="Q1324"/>
    </row>
    <row r="1325" spans="1:17" ht="15" x14ac:dyDescent="0.25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/>
      <c r="P1325"/>
      <c r="Q1325"/>
    </row>
    <row r="1326" spans="1:17" ht="15" x14ac:dyDescent="0.25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/>
      <c r="P1326"/>
      <c r="Q1326"/>
    </row>
    <row r="1327" spans="1:17" ht="15" x14ac:dyDescent="0.25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/>
      <c r="P1327"/>
      <c r="Q1327"/>
    </row>
    <row r="1328" spans="1:17" ht="15" x14ac:dyDescent="0.25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/>
      <c r="P1328"/>
      <c r="Q1328"/>
    </row>
    <row r="1329" spans="1:17" ht="15" x14ac:dyDescent="0.25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/>
      <c r="P1329"/>
      <c r="Q1329"/>
    </row>
    <row r="1330" spans="1:17" ht="15" x14ac:dyDescent="0.25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/>
      <c r="P1330"/>
      <c r="Q1330"/>
    </row>
    <row r="1331" spans="1:17" ht="15" x14ac:dyDescent="0.25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/>
      <c r="P1331"/>
      <c r="Q1331"/>
    </row>
    <row r="1332" spans="1:17" ht="15" x14ac:dyDescent="0.25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/>
      <c r="P1332"/>
      <c r="Q1332"/>
    </row>
    <row r="1333" spans="1:17" ht="15" x14ac:dyDescent="0.25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/>
      <c r="P1333"/>
      <c r="Q1333"/>
    </row>
    <row r="1334" spans="1:17" ht="15" x14ac:dyDescent="0.25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/>
      <c r="P1334"/>
      <c r="Q1334"/>
    </row>
    <row r="1335" spans="1:17" ht="15" x14ac:dyDescent="0.25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/>
      <c r="P1335"/>
      <c r="Q1335"/>
    </row>
    <row r="1336" spans="1:17" ht="15" x14ac:dyDescent="0.25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/>
      <c r="P1336"/>
      <c r="Q1336"/>
    </row>
    <row r="1337" spans="1:17" ht="15" x14ac:dyDescent="0.25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/>
      <c r="P1337"/>
      <c r="Q1337"/>
    </row>
    <row r="1338" spans="1:17" ht="15" x14ac:dyDescent="0.25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/>
      <c r="P1338"/>
      <c r="Q1338"/>
    </row>
    <row r="1339" spans="1:17" ht="15" x14ac:dyDescent="0.25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/>
      <c r="P1339"/>
      <c r="Q1339"/>
    </row>
    <row r="1340" spans="1:17" ht="15" x14ac:dyDescent="0.25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/>
      <c r="P1340"/>
      <c r="Q1340"/>
    </row>
    <row r="1341" spans="1:17" ht="15" x14ac:dyDescent="0.25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/>
      <c r="P1341"/>
      <c r="Q1341"/>
    </row>
    <row r="1342" spans="1:17" ht="15" x14ac:dyDescent="0.25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/>
      <c r="P1342"/>
      <c r="Q1342"/>
    </row>
    <row r="1343" spans="1:17" ht="15" x14ac:dyDescent="0.25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/>
      <c r="P1343"/>
      <c r="Q1343"/>
    </row>
    <row r="1344" spans="1:17" ht="15" x14ac:dyDescent="0.25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/>
      <c r="P1344"/>
      <c r="Q1344"/>
    </row>
    <row r="1345" spans="1:17" ht="15" x14ac:dyDescent="0.25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/>
      <c r="P1345"/>
      <c r="Q1345"/>
    </row>
    <row r="1346" spans="1:17" ht="15" x14ac:dyDescent="0.25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/>
      <c r="P1346"/>
      <c r="Q1346"/>
    </row>
    <row r="1347" spans="1:17" ht="15" x14ac:dyDescent="0.25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/>
      <c r="P1347"/>
      <c r="Q1347"/>
    </row>
    <row r="1348" spans="1:17" ht="15" x14ac:dyDescent="0.25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/>
      <c r="P1348"/>
      <c r="Q1348"/>
    </row>
    <row r="1349" spans="1:17" ht="15" x14ac:dyDescent="0.25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/>
      <c r="P1349"/>
      <c r="Q1349"/>
    </row>
    <row r="1350" spans="1:17" ht="15" x14ac:dyDescent="0.25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/>
      <c r="P1350"/>
      <c r="Q1350"/>
    </row>
    <row r="1351" spans="1:17" ht="15" x14ac:dyDescent="0.25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/>
      <c r="P1351"/>
      <c r="Q1351"/>
    </row>
    <row r="1352" spans="1:17" ht="15" x14ac:dyDescent="0.25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/>
      <c r="P1352"/>
      <c r="Q1352"/>
    </row>
    <row r="1353" spans="1:17" ht="15" x14ac:dyDescent="0.25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/>
      <c r="P1353"/>
      <c r="Q1353"/>
    </row>
    <row r="1354" spans="1:17" ht="15" x14ac:dyDescent="0.25">
      <c r="A1354"/>
      <c r="B1354"/>
      <c r="C1354"/>
      <c r="D1354"/>
      <c r="E1354"/>
      <c r="F1354"/>
      <c r="G1354"/>
      <c r="H1354"/>
      <c r="I1354"/>
      <c r="J1354"/>
      <c r="K1354"/>
      <c r="L1354"/>
      <c r="M1354"/>
      <c r="N1354"/>
      <c r="O1354"/>
      <c r="P1354"/>
      <c r="Q1354"/>
    </row>
    <row r="1355" spans="1:17" ht="15" x14ac:dyDescent="0.25">
      <c r="A1355"/>
      <c r="B1355"/>
      <c r="C1355"/>
      <c r="D1355"/>
      <c r="E1355"/>
      <c r="F1355"/>
      <c r="G1355"/>
      <c r="H1355"/>
      <c r="I1355"/>
      <c r="J1355"/>
      <c r="K1355"/>
      <c r="L1355"/>
      <c r="M1355"/>
      <c r="N1355"/>
      <c r="O1355"/>
      <c r="P1355"/>
      <c r="Q1355"/>
    </row>
    <row r="1356" spans="1:17" ht="15" x14ac:dyDescent="0.25">
      <c r="A1356"/>
      <c r="B1356"/>
      <c r="C1356"/>
      <c r="D1356"/>
      <c r="E1356"/>
      <c r="F1356"/>
      <c r="G1356"/>
      <c r="H1356"/>
      <c r="I1356"/>
      <c r="J1356"/>
      <c r="K1356"/>
      <c r="L1356"/>
      <c r="M1356"/>
      <c r="N1356"/>
      <c r="O1356"/>
      <c r="P1356"/>
      <c r="Q1356"/>
    </row>
    <row r="1357" spans="1:17" ht="15" x14ac:dyDescent="0.25">
      <c r="A1357"/>
      <c r="B1357"/>
      <c r="C1357"/>
      <c r="D1357"/>
      <c r="E1357"/>
      <c r="F1357"/>
      <c r="G1357"/>
      <c r="H1357"/>
      <c r="I1357"/>
      <c r="J1357"/>
      <c r="K1357"/>
      <c r="L1357"/>
      <c r="M1357"/>
      <c r="N1357"/>
      <c r="O1357"/>
      <c r="P1357"/>
      <c r="Q1357"/>
    </row>
    <row r="1358" spans="1:17" ht="15" x14ac:dyDescent="0.25">
      <c r="A1358"/>
      <c r="B1358"/>
      <c r="C1358"/>
      <c r="D1358"/>
      <c r="E1358"/>
      <c r="F1358"/>
      <c r="G1358"/>
      <c r="H1358"/>
      <c r="I1358"/>
      <c r="J1358"/>
      <c r="K1358"/>
      <c r="L1358"/>
      <c r="M1358"/>
      <c r="N1358"/>
      <c r="O1358"/>
      <c r="P1358"/>
      <c r="Q1358"/>
    </row>
    <row r="1359" spans="1:17" ht="15" x14ac:dyDescent="0.25">
      <c r="A1359"/>
      <c r="B1359"/>
      <c r="C1359"/>
      <c r="D1359"/>
      <c r="E1359"/>
      <c r="F1359"/>
      <c r="G1359"/>
      <c r="H1359"/>
      <c r="I1359"/>
      <c r="J1359"/>
      <c r="K1359"/>
      <c r="L1359"/>
      <c r="M1359"/>
      <c r="N1359"/>
      <c r="O1359"/>
      <c r="P1359"/>
      <c r="Q1359"/>
    </row>
    <row r="1360" spans="1:17" ht="15" x14ac:dyDescent="0.25">
      <c r="A1360"/>
      <c r="B1360"/>
      <c r="C1360"/>
      <c r="D1360"/>
      <c r="E1360"/>
      <c r="F1360"/>
      <c r="G1360"/>
      <c r="H1360"/>
      <c r="I1360"/>
      <c r="J1360"/>
      <c r="K1360"/>
      <c r="L1360"/>
      <c r="M1360"/>
      <c r="N1360"/>
      <c r="O1360"/>
      <c r="P1360"/>
      <c r="Q1360"/>
    </row>
    <row r="1361" spans="1:17" ht="15" x14ac:dyDescent="0.25">
      <c r="A1361"/>
      <c r="B1361"/>
      <c r="C1361"/>
      <c r="D1361"/>
      <c r="E1361"/>
      <c r="F1361"/>
      <c r="G1361"/>
      <c r="H1361"/>
      <c r="I1361"/>
      <c r="J1361"/>
      <c r="K1361"/>
      <c r="L1361"/>
      <c r="M1361"/>
      <c r="N1361"/>
      <c r="O1361"/>
      <c r="P1361"/>
      <c r="Q1361"/>
    </row>
    <row r="1362" spans="1:17" ht="15" x14ac:dyDescent="0.25">
      <c r="A1362"/>
      <c r="B1362"/>
      <c r="C1362"/>
      <c r="D1362"/>
      <c r="E1362"/>
      <c r="F1362"/>
      <c r="G1362"/>
      <c r="H1362"/>
      <c r="I1362"/>
      <c r="J1362"/>
      <c r="K1362"/>
      <c r="L1362"/>
      <c r="M1362"/>
      <c r="N1362"/>
      <c r="O1362"/>
      <c r="P1362"/>
      <c r="Q1362"/>
    </row>
    <row r="1363" spans="1:17" ht="15" x14ac:dyDescent="0.25">
      <c r="A1363"/>
      <c r="B1363"/>
      <c r="C1363"/>
      <c r="D1363"/>
      <c r="E1363"/>
      <c r="F1363"/>
      <c r="G1363"/>
      <c r="H1363"/>
      <c r="I1363"/>
      <c r="J1363"/>
      <c r="K1363"/>
      <c r="L1363"/>
      <c r="M1363"/>
      <c r="N1363"/>
      <c r="O1363"/>
      <c r="P1363"/>
      <c r="Q1363"/>
    </row>
    <row r="1364" spans="1:17" ht="15" x14ac:dyDescent="0.25">
      <c r="A1364"/>
      <c r="B1364"/>
      <c r="C1364"/>
      <c r="D1364"/>
      <c r="E1364"/>
      <c r="F1364"/>
      <c r="G1364"/>
      <c r="H1364"/>
      <c r="I1364"/>
      <c r="J1364"/>
      <c r="K1364"/>
      <c r="L1364"/>
      <c r="M1364"/>
      <c r="N1364"/>
      <c r="O1364"/>
      <c r="P1364"/>
      <c r="Q1364"/>
    </row>
    <row r="1365" spans="1:17" ht="15" x14ac:dyDescent="0.25">
      <c r="A1365"/>
      <c r="B1365"/>
      <c r="C1365"/>
      <c r="D1365"/>
      <c r="E1365"/>
      <c r="F1365"/>
      <c r="G1365"/>
      <c r="H1365"/>
      <c r="I1365"/>
      <c r="J1365"/>
      <c r="K1365"/>
      <c r="L1365"/>
      <c r="M1365"/>
      <c r="N1365"/>
      <c r="O1365"/>
      <c r="P1365"/>
      <c r="Q1365"/>
    </row>
    <row r="1366" spans="1:17" ht="15" x14ac:dyDescent="0.25">
      <c r="A1366"/>
      <c r="B1366"/>
      <c r="C1366"/>
      <c r="D1366"/>
      <c r="E1366"/>
      <c r="F1366"/>
      <c r="G1366"/>
      <c r="H1366"/>
      <c r="I1366"/>
      <c r="J1366"/>
      <c r="K1366"/>
      <c r="L1366"/>
      <c r="M1366"/>
      <c r="N1366"/>
      <c r="O1366"/>
      <c r="P1366"/>
      <c r="Q1366"/>
    </row>
    <row r="1367" spans="1:17" ht="15" x14ac:dyDescent="0.25">
      <c r="A1367"/>
      <c r="B1367"/>
      <c r="C1367"/>
      <c r="D1367"/>
      <c r="E1367"/>
      <c r="F1367"/>
      <c r="G1367"/>
      <c r="H1367"/>
      <c r="I1367"/>
      <c r="J1367"/>
      <c r="K1367"/>
      <c r="L1367"/>
      <c r="M1367"/>
      <c r="N1367"/>
      <c r="O1367"/>
      <c r="P1367"/>
      <c r="Q1367"/>
    </row>
    <row r="1368" spans="1:17" ht="15" x14ac:dyDescent="0.25">
      <c r="A1368"/>
      <c r="B1368"/>
      <c r="C1368"/>
      <c r="D1368"/>
      <c r="E1368"/>
      <c r="F1368"/>
      <c r="G1368"/>
      <c r="H1368"/>
      <c r="I1368"/>
      <c r="J1368"/>
      <c r="K1368"/>
      <c r="L1368"/>
      <c r="M1368"/>
      <c r="N1368"/>
      <c r="O1368"/>
      <c r="P1368"/>
      <c r="Q1368"/>
    </row>
    <row r="1369" spans="1:17" ht="15" x14ac:dyDescent="0.25">
      <c r="A1369"/>
      <c r="B1369"/>
      <c r="C1369"/>
      <c r="D1369"/>
      <c r="E1369"/>
      <c r="F1369"/>
      <c r="G1369"/>
      <c r="H1369"/>
      <c r="I1369"/>
      <c r="J1369"/>
      <c r="K1369"/>
      <c r="L1369"/>
      <c r="M1369"/>
      <c r="N1369"/>
      <c r="O1369"/>
      <c r="P1369"/>
      <c r="Q1369"/>
    </row>
    <row r="1370" spans="1:17" ht="15" x14ac:dyDescent="0.25">
      <c r="A1370"/>
      <c r="B1370"/>
      <c r="C1370"/>
      <c r="D1370"/>
      <c r="E1370"/>
      <c r="F1370"/>
      <c r="G1370"/>
      <c r="H1370"/>
      <c r="I1370"/>
      <c r="J1370"/>
      <c r="K1370"/>
      <c r="L1370"/>
      <c r="M1370"/>
      <c r="N1370"/>
      <c r="O1370"/>
      <c r="P1370"/>
      <c r="Q1370"/>
    </row>
    <row r="1371" spans="1:17" ht="15" x14ac:dyDescent="0.25">
      <c r="A1371"/>
      <c r="B1371"/>
      <c r="C1371"/>
      <c r="D1371"/>
      <c r="E1371"/>
      <c r="F1371"/>
      <c r="G1371"/>
      <c r="H1371"/>
      <c r="I1371"/>
      <c r="J1371"/>
      <c r="K1371"/>
      <c r="L1371"/>
      <c r="M1371"/>
      <c r="N1371"/>
      <c r="O1371"/>
      <c r="P1371"/>
      <c r="Q1371"/>
    </row>
    <row r="1372" spans="1:17" ht="15" x14ac:dyDescent="0.25">
      <c r="A1372"/>
      <c r="B1372"/>
      <c r="C1372"/>
      <c r="D1372"/>
      <c r="E1372"/>
      <c r="F1372"/>
      <c r="G1372"/>
      <c r="H1372"/>
      <c r="I1372"/>
      <c r="J1372"/>
      <c r="K1372"/>
      <c r="L1372"/>
      <c r="M1372"/>
      <c r="N1372"/>
      <c r="O1372"/>
      <c r="P1372"/>
      <c r="Q1372"/>
    </row>
    <row r="1373" spans="1:17" ht="15" x14ac:dyDescent="0.25">
      <c r="A1373"/>
      <c r="B1373"/>
      <c r="C1373"/>
      <c r="D1373"/>
      <c r="E1373"/>
      <c r="F1373"/>
      <c r="G1373"/>
      <c r="H1373"/>
      <c r="I1373"/>
      <c r="J1373"/>
      <c r="K1373"/>
      <c r="L1373"/>
      <c r="M1373"/>
      <c r="N1373"/>
      <c r="O1373"/>
      <c r="P1373"/>
      <c r="Q1373"/>
    </row>
    <row r="1374" spans="1:17" ht="15" x14ac:dyDescent="0.25">
      <c r="A1374"/>
      <c r="B1374"/>
      <c r="C1374"/>
      <c r="D1374"/>
      <c r="E1374"/>
      <c r="F1374"/>
      <c r="G1374"/>
      <c r="H1374"/>
      <c r="I1374"/>
      <c r="J1374"/>
      <c r="K1374"/>
      <c r="L1374"/>
      <c r="M1374"/>
      <c r="N1374"/>
      <c r="O1374"/>
      <c r="P1374"/>
      <c r="Q1374"/>
    </row>
    <row r="1375" spans="1:17" ht="15" x14ac:dyDescent="0.25">
      <c r="A1375"/>
      <c r="B1375"/>
      <c r="C1375"/>
      <c r="D1375"/>
      <c r="E1375"/>
      <c r="F1375"/>
      <c r="G1375"/>
      <c r="H1375"/>
      <c r="I1375"/>
      <c r="J1375"/>
      <c r="K1375"/>
      <c r="L1375"/>
      <c r="M1375"/>
      <c r="N1375"/>
      <c r="O1375"/>
      <c r="P1375"/>
      <c r="Q1375"/>
    </row>
    <row r="1376" spans="1:17" ht="15" x14ac:dyDescent="0.25">
      <c r="A1376"/>
      <c r="B1376"/>
      <c r="C1376"/>
      <c r="D1376"/>
      <c r="E1376"/>
      <c r="F1376"/>
      <c r="G1376"/>
      <c r="H1376"/>
      <c r="I1376"/>
      <c r="J1376"/>
      <c r="K1376"/>
      <c r="L1376"/>
      <c r="M1376"/>
      <c r="N1376"/>
      <c r="O1376"/>
      <c r="P1376"/>
      <c r="Q1376"/>
    </row>
    <row r="1377" spans="1:17" ht="15" x14ac:dyDescent="0.25">
      <c r="A1377"/>
      <c r="B1377"/>
      <c r="C1377"/>
      <c r="D1377"/>
      <c r="E1377"/>
      <c r="F1377"/>
      <c r="G1377"/>
      <c r="H1377"/>
      <c r="I1377"/>
      <c r="J1377"/>
      <c r="K1377"/>
      <c r="L1377"/>
      <c r="M1377"/>
      <c r="N1377"/>
      <c r="O1377"/>
      <c r="P1377"/>
      <c r="Q1377"/>
    </row>
    <row r="1378" spans="1:17" ht="15" x14ac:dyDescent="0.25">
      <c r="A1378"/>
      <c r="B1378"/>
      <c r="C1378"/>
      <c r="D1378"/>
      <c r="E1378"/>
      <c r="F1378"/>
      <c r="G1378"/>
      <c r="H1378"/>
      <c r="I1378"/>
      <c r="J1378"/>
      <c r="K1378"/>
      <c r="L1378"/>
      <c r="M1378"/>
      <c r="N1378"/>
      <c r="O1378"/>
      <c r="P1378"/>
      <c r="Q1378"/>
    </row>
    <row r="1379" spans="1:17" ht="15" x14ac:dyDescent="0.25">
      <c r="A1379"/>
      <c r="B1379"/>
      <c r="C1379"/>
      <c r="D1379"/>
      <c r="E1379"/>
      <c r="F1379"/>
      <c r="G1379"/>
      <c r="H1379"/>
      <c r="I1379"/>
      <c r="J1379"/>
      <c r="K1379"/>
      <c r="L1379"/>
      <c r="M1379"/>
      <c r="N1379"/>
      <c r="O1379"/>
      <c r="P1379"/>
      <c r="Q1379"/>
    </row>
    <row r="1380" spans="1:17" ht="15" x14ac:dyDescent="0.25">
      <c r="A1380"/>
      <c r="B1380"/>
      <c r="C1380"/>
      <c r="D1380"/>
      <c r="E1380"/>
      <c r="F1380"/>
      <c r="G1380"/>
      <c r="H1380"/>
      <c r="I1380"/>
      <c r="J1380"/>
      <c r="K1380"/>
      <c r="L1380"/>
      <c r="M1380"/>
      <c r="N1380"/>
      <c r="O1380"/>
      <c r="P1380"/>
      <c r="Q1380"/>
    </row>
    <row r="1381" spans="1:17" ht="15" x14ac:dyDescent="0.25">
      <c r="A1381"/>
      <c r="B1381"/>
      <c r="C1381"/>
      <c r="D1381"/>
      <c r="E1381"/>
      <c r="F1381"/>
      <c r="G1381"/>
      <c r="H1381"/>
      <c r="I1381"/>
      <c r="J1381"/>
      <c r="K1381"/>
      <c r="L1381"/>
      <c r="M1381"/>
      <c r="N1381"/>
      <c r="O1381"/>
      <c r="P1381"/>
      <c r="Q1381"/>
    </row>
    <row r="1382" spans="1:17" ht="15" x14ac:dyDescent="0.25">
      <c r="A1382"/>
      <c r="B1382"/>
      <c r="C1382"/>
      <c r="D1382"/>
      <c r="E1382"/>
      <c r="F1382"/>
      <c r="G1382"/>
      <c r="H1382"/>
      <c r="I1382"/>
      <c r="J1382"/>
      <c r="K1382"/>
      <c r="L1382"/>
      <c r="M1382"/>
      <c r="N1382"/>
      <c r="O1382"/>
      <c r="P1382"/>
      <c r="Q1382"/>
    </row>
    <row r="1383" spans="1:17" ht="15" x14ac:dyDescent="0.25">
      <c r="A1383"/>
      <c r="B1383"/>
      <c r="C1383"/>
      <c r="D1383"/>
      <c r="E1383"/>
      <c r="F1383"/>
      <c r="G1383"/>
      <c r="H1383"/>
      <c r="I1383"/>
      <c r="J1383"/>
      <c r="K1383"/>
      <c r="L1383"/>
      <c r="M1383"/>
      <c r="N1383"/>
      <c r="O1383"/>
      <c r="P1383"/>
      <c r="Q1383"/>
    </row>
    <row r="1384" spans="1:17" ht="15" x14ac:dyDescent="0.25">
      <c r="A1384"/>
      <c r="B1384"/>
      <c r="C1384"/>
      <c r="D1384"/>
      <c r="E1384"/>
      <c r="F1384"/>
      <c r="G1384"/>
      <c r="H1384"/>
      <c r="I1384"/>
      <c r="J1384"/>
      <c r="K1384"/>
      <c r="L1384"/>
      <c r="M1384"/>
      <c r="N1384"/>
      <c r="O1384"/>
      <c r="P1384"/>
      <c r="Q1384"/>
    </row>
    <row r="1385" spans="1:17" ht="15" x14ac:dyDescent="0.25">
      <c r="A1385"/>
      <c r="B1385"/>
      <c r="C1385"/>
      <c r="D1385"/>
      <c r="E1385"/>
      <c r="F1385"/>
      <c r="G1385"/>
      <c r="H1385"/>
      <c r="I1385"/>
      <c r="J1385"/>
      <c r="K1385"/>
      <c r="L1385"/>
      <c r="M1385"/>
      <c r="N1385"/>
      <c r="O1385"/>
      <c r="P1385"/>
      <c r="Q1385"/>
    </row>
    <row r="1386" spans="1:17" ht="15" x14ac:dyDescent="0.25">
      <c r="A1386"/>
      <c r="B1386"/>
      <c r="C1386"/>
      <c r="D1386"/>
      <c r="E1386"/>
      <c r="F1386"/>
      <c r="G1386"/>
      <c r="H1386"/>
      <c r="I1386"/>
      <c r="J1386"/>
      <c r="K1386"/>
      <c r="L1386"/>
      <c r="M1386"/>
      <c r="N1386"/>
      <c r="O1386"/>
      <c r="P1386"/>
      <c r="Q1386"/>
    </row>
    <row r="1387" spans="1:17" ht="15" x14ac:dyDescent="0.25">
      <c r="A1387"/>
      <c r="B1387"/>
      <c r="C1387"/>
      <c r="D1387"/>
      <c r="E1387"/>
      <c r="F1387"/>
      <c r="G1387"/>
      <c r="H1387"/>
      <c r="I1387"/>
      <c r="J1387"/>
      <c r="K1387"/>
      <c r="L1387"/>
      <c r="M1387"/>
      <c r="N1387"/>
      <c r="O1387"/>
      <c r="P1387"/>
      <c r="Q1387"/>
    </row>
    <row r="1388" spans="1:17" ht="15" x14ac:dyDescent="0.25">
      <c r="A1388"/>
      <c r="B1388"/>
      <c r="C1388"/>
      <c r="D1388"/>
      <c r="E1388"/>
      <c r="F1388"/>
      <c r="G1388"/>
      <c r="H1388"/>
      <c r="I1388"/>
      <c r="J1388"/>
      <c r="K1388"/>
      <c r="L1388"/>
      <c r="M1388"/>
      <c r="N1388"/>
      <c r="O1388"/>
      <c r="P1388"/>
      <c r="Q1388"/>
    </row>
    <row r="1389" spans="1:17" ht="15" x14ac:dyDescent="0.25">
      <c r="A1389"/>
      <c r="B1389"/>
      <c r="C1389"/>
      <c r="D1389"/>
      <c r="E1389"/>
      <c r="F1389"/>
      <c r="G1389"/>
      <c r="H1389"/>
      <c r="I1389"/>
      <c r="J1389"/>
      <c r="K1389"/>
      <c r="L1389"/>
      <c r="M1389"/>
      <c r="N1389"/>
      <c r="O1389"/>
      <c r="P1389"/>
      <c r="Q1389"/>
    </row>
    <row r="1390" spans="1:17" ht="15" x14ac:dyDescent="0.25">
      <c r="A1390"/>
      <c r="B1390"/>
      <c r="C1390"/>
      <c r="D1390"/>
      <c r="E1390"/>
      <c r="F1390"/>
      <c r="G1390"/>
      <c r="H1390"/>
      <c r="I1390"/>
      <c r="J1390"/>
      <c r="K1390"/>
      <c r="L1390"/>
      <c r="M1390"/>
      <c r="N1390"/>
      <c r="O1390"/>
      <c r="P1390"/>
      <c r="Q1390"/>
    </row>
    <row r="1391" spans="1:17" ht="15" x14ac:dyDescent="0.25">
      <c r="A1391"/>
      <c r="B1391"/>
      <c r="C1391"/>
      <c r="D1391"/>
      <c r="E1391"/>
      <c r="F1391"/>
      <c r="G1391"/>
      <c r="H1391"/>
      <c r="I1391"/>
      <c r="J1391"/>
      <c r="K1391"/>
      <c r="L1391"/>
      <c r="M1391"/>
      <c r="N1391"/>
      <c r="O1391"/>
      <c r="P1391"/>
      <c r="Q1391"/>
    </row>
    <row r="1392" spans="1:17" ht="15" x14ac:dyDescent="0.25">
      <c r="A1392"/>
      <c r="B1392"/>
      <c r="C1392"/>
      <c r="D1392"/>
      <c r="E1392"/>
      <c r="F1392"/>
      <c r="G1392"/>
      <c r="H1392"/>
      <c r="I1392"/>
      <c r="J1392"/>
      <c r="K1392"/>
      <c r="L1392"/>
      <c r="M1392"/>
      <c r="N1392"/>
      <c r="O1392"/>
      <c r="P1392"/>
      <c r="Q1392"/>
    </row>
    <row r="1393" spans="1:17" ht="15" x14ac:dyDescent="0.25">
      <c r="A1393"/>
      <c r="B1393"/>
      <c r="C1393"/>
      <c r="D1393"/>
      <c r="E1393"/>
      <c r="F1393"/>
      <c r="G1393"/>
      <c r="H1393"/>
      <c r="I1393"/>
      <c r="J1393"/>
      <c r="K1393"/>
      <c r="L1393"/>
      <c r="M1393"/>
      <c r="N1393"/>
      <c r="O1393"/>
      <c r="P1393"/>
      <c r="Q1393"/>
    </row>
    <row r="1394" spans="1:17" ht="15" x14ac:dyDescent="0.25">
      <c r="A1394"/>
      <c r="B1394"/>
      <c r="C1394"/>
      <c r="D1394"/>
      <c r="E1394"/>
      <c r="F1394"/>
      <c r="G1394"/>
      <c r="H1394"/>
      <c r="I1394"/>
      <c r="J1394"/>
      <c r="K1394"/>
      <c r="L1394"/>
      <c r="M1394"/>
      <c r="N1394"/>
      <c r="O1394"/>
      <c r="P1394"/>
      <c r="Q1394"/>
    </row>
    <row r="1395" spans="1:17" ht="15" x14ac:dyDescent="0.25">
      <c r="A1395"/>
      <c r="B1395"/>
      <c r="C1395"/>
      <c r="D1395"/>
      <c r="E1395"/>
      <c r="F1395"/>
      <c r="G1395"/>
      <c r="H1395"/>
      <c r="I1395"/>
      <c r="J1395"/>
      <c r="K1395"/>
      <c r="L1395"/>
      <c r="M1395"/>
      <c r="N1395"/>
      <c r="O1395"/>
      <c r="P1395"/>
      <c r="Q1395"/>
    </row>
    <row r="1396" spans="1:17" ht="15" x14ac:dyDescent="0.25">
      <c r="A1396"/>
      <c r="B1396"/>
      <c r="C1396"/>
      <c r="D1396"/>
      <c r="E1396"/>
      <c r="F1396"/>
      <c r="G1396"/>
      <c r="H1396"/>
      <c r="I1396"/>
      <c r="J1396"/>
      <c r="K1396"/>
      <c r="L1396"/>
      <c r="M1396"/>
      <c r="N1396"/>
      <c r="O1396"/>
      <c r="P1396"/>
      <c r="Q1396"/>
    </row>
    <row r="1397" spans="1:17" ht="15" x14ac:dyDescent="0.25">
      <c r="A1397"/>
      <c r="B1397"/>
      <c r="C1397"/>
      <c r="D1397"/>
      <c r="E1397"/>
      <c r="F1397"/>
      <c r="G1397"/>
      <c r="H1397"/>
      <c r="I1397"/>
      <c r="J1397"/>
      <c r="K1397"/>
      <c r="L1397"/>
      <c r="M1397"/>
      <c r="N1397"/>
      <c r="O1397"/>
      <c r="P1397"/>
      <c r="Q1397"/>
    </row>
    <row r="1398" spans="1:17" ht="15" x14ac:dyDescent="0.25">
      <c r="A1398"/>
      <c r="B1398"/>
      <c r="C1398"/>
      <c r="D1398"/>
      <c r="E1398"/>
      <c r="F1398"/>
      <c r="G1398"/>
      <c r="H1398"/>
      <c r="I1398"/>
      <c r="J1398"/>
      <c r="K1398"/>
      <c r="L1398"/>
      <c r="M1398"/>
      <c r="N1398"/>
      <c r="O1398"/>
      <c r="P1398"/>
      <c r="Q1398"/>
    </row>
    <row r="1399" spans="1:17" ht="15" x14ac:dyDescent="0.25">
      <c r="A1399"/>
      <c r="B1399"/>
      <c r="C1399"/>
      <c r="D1399"/>
      <c r="E1399"/>
      <c r="F1399"/>
      <c r="G1399"/>
      <c r="H1399"/>
      <c r="I1399"/>
      <c r="J1399"/>
      <c r="K1399"/>
      <c r="L1399"/>
      <c r="M1399"/>
      <c r="N1399"/>
      <c r="O1399"/>
      <c r="P1399"/>
      <c r="Q1399"/>
    </row>
    <row r="1400" spans="1:17" ht="15" x14ac:dyDescent="0.25">
      <c r="A1400"/>
      <c r="B1400"/>
      <c r="C1400"/>
      <c r="D1400"/>
      <c r="E1400"/>
      <c r="F1400"/>
      <c r="G1400"/>
      <c r="H1400"/>
      <c r="I1400"/>
      <c r="J1400"/>
      <c r="K1400"/>
      <c r="L1400"/>
      <c r="M1400"/>
      <c r="N1400"/>
      <c r="O1400"/>
      <c r="P1400"/>
      <c r="Q1400"/>
    </row>
    <row r="1401" spans="1:17" ht="15" x14ac:dyDescent="0.25">
      <c r="A1401"/>
      <c r="B1401"/>
      <c r="C1401"/>
      <c r="D1401"/>
      <c r="E1401"/>
      <c r="F1401"/>
      <c r="G1401"/>
      <c r="H1401"/>
      <c r="I1401"/>
      <c r="J1401"/>
      <c r="K1401"/>
      <c r="L1401"/>
      <c r="M1401"/>
      <c r="N1401"/>
      <c r="O1401"/>
      <c r="P1401"/>
      <c r="Q1401"/>
    </row>
    <row r="1402" spans="1:17" ht="15" x14ac:dyDescent="0.25">
      <c r="A1402"/>
      <c r="B1402"/>
      <c r="C1402"/>
      <c r="D1402"/>
      <c r="E1402"/>
      <c r="F1402"/>
      <c r="G1402"/>
      <c r="H1402"/>
      <c r="I1402"/>
      <c r="J1402"/>
      <c r="K1402"/>
      <c r="L1402"/>
      <c r="M1402"/>
      <c r="N1402"/>
      <c r="O1402"/>
      <c r="P1402"/>
      <c r="Q1402"/>
    </row>
    <row r="1403" spans="1:17" ht="15" x14ac:dyDescent="0.25">
      <c r="A1403"/>
      <c r="B1403"/>
      <c r="C1403"/>
      <c r="D1403"/>
      <c r="E1403"/>
      <c r="F1403"/>
      <c r="G1403"/>
      <c r="H1403"/>
      <c r="I1403"/>
      <c r="J1403"/>
      <c r="K1403"/>
      <c r="L1403"/>
      <c r="M1403"/>
      <c r="N1403"/>
      <c r="O1403"/>
      <c r="P1403"/>
      <c r="Q1403"/>
    </row>
    <row r="1404" spans="1:17" ht="15" x14ac:dyDescent="0.25">
      <c r="A1404"/>
      <c r="B1404"/>
      <c r="C1404"/>
      <c r="D1404"/>
      <c r="E1404"/>
      <c r="F1404"/>
      <c r="G1404"/>
      <c r="H1404"/>
      <c r="I1404"/>
      <c r="J1404"/>
      <c r="K1404"/>
      <c r="L1404"/>
      <c r="M1404"/>
      <c r="N1404"/>
      <c r="O1404"/>
      <c r="P1404"/>
      <c r="Q1404"/>
    </row>
    <row r="1405" spans="1:17" ht="15" x14ac:dyDescent="0.25">
      <c r="A1405"/>
      <c r="B1405"/>
      <c r="C1405"/>
      <c r="D1405"/>
      <c r="E1405"/>
      <c r="F1405"/>
      <c r="G1405"/>
      <c r="H1405"/>
      <c r="I1405"/>
      <c r="J1405"/>
      <c r="K1405"/>
      <c r="L1405"/>
      <c r="M1405"/>
      <c r="N1405"/>
      <c r="O1405"/>
      <c r="P1405"/>
      <c r="Q1405"/>
    </row>
    <row r="1406" spans="1:17" ht="15" x14ac:dyDescent="0.25">
      <c r="A1406"/>
      <c r="B1406"/>
      <c r="C1406"/>
      <c r="D1406"/>
      <c r="E1406"/>
      <c r="F1406"/>
      <c r="G1406"/>
      <c r="H1406"/>
      <c r="I1406"/>
      <c r="J1406"/>
      <c r="K1406"/>
      <c r="L1406"/>
      <c r="M1406"/>
      <c r="N1406"/>
      <c r="O1406"/>
      <c r="P1406"/>
      <c r="Q1406"/>
    </row>
    <row r="1407" spans="1:17" ht="15" x14ac:dyDescent="0.25">
      <c r="A1407"/>
      <c r="B1407"/>
      <c r="C1407"/>
      <c r="D1407"/>
      <c r="E1407"/>
      <c r="F1407"/>
      <c r="G1407"/>
      <c r="H1407"/>
      <c r="I1407"/>
      <c r="J1407"/>
      <c r="K1407"/>
      <c r="L1407"/>
      <c r="M1407"/>
      <c r="N1407"/>
      <c r="O1407"/>
      <c r="P1407"/>
      <c r="Q1407"/>
    </row>
    <row r="1408" spans="1:17" ht="15" x14ac:dyDescent="0.25">
      <c r="A1408"/>
      <c r="B1408"/>
      <c r="C1408"/>
      <c r="D1408"/>
      <c r="E1408"/>
      <c r="F1408"/>
      <c r="G1408"/>
      <c r="H1408"/>
      <c r="I1408"/>
      <c r="J1408"/>
      <c r="K1408"/>
      <c r="L1408"/>
      <c r="M1408"/>
      <c r="N1408"/>
      <c r="O1408"/>
      <c r="P1408"/>
      <c r="Q1408"/>
    </row>
    <row r="1409" spans="1:17" ht="15" x14ac:dyDescent="0.25">
      <c r="A1409"/>
      <c r="B1409"/>
      <c r="C1409"/>
      <c r="D1409"/>
      <c r="E1409"/>
      <c r="F1409"/>
      <c r="G1409"/>
      <c r="H1409"/>
      <c r="I1409"/>
      <c r="J1409"/>
      <c r="K1409"/>
      <c r="L1409"/>
      <c r="M1409"/>
      <c r="N1409"/>
      <c r="O1409"/>
      <c r="P1409"/>
      <c r="Q1409"/>
    </row>
    <row r="1410" spans="1:17" ht="15" x14ac:dyDescent="0.25">
      <c r="A1410"/>
      <c r="B1410"/>
      <c r="C1410"/>
      <c r="D1410"/>
      <c r="E1410"/>
      <c r="F1410"/>
      <c r="G1410"/>
      <c r="H1410"/>
      <c r="I1410"/>
      <c r="J1410"/>
      <c r="K1410"/>
      <c r="L1410"/>
      <c r="M1410"/>
      <c r="N1410"/>
      <c r="O1410"/>
      <c r="P1410"/>
      <c r="Q1410"/>
    </row>
    <row r="1411" spans="1:17" ht="15" x14ac:dyDescent="0.25">
      <c r="A1411"/>
      <c r="B1411"/>
      <c r="C1411"/>
      <c r="D1411"/>
      <c r="E1411"/>
      <c r="F1411"/>
      <c r="G1411"/>
      <c r="H1411"/>
      <c r="I1411"/>
      <c r="J1411"/>
      <c r="K1411"/>
      <c r="L1411"/>
      <c r="M1411"/>
      <c r="N1411"/>
      <c r="O1411"/>
      <c r="P1411"/>
      <c r="Q1411"/>
    </row>
    <row r="1412" spans="1:17" ht="15" x14ac:dyDescent="0.25">
      <c r="A1412"/>
      <c r="B1412"/>
      <c r="C1412"/>
      <c r="D1412"/>
      <c r="E1412"/>
      <c r="F1412"/>
      <c r="G1412"/>
      <c r="H1412"/>
      <c r="I1412"/>
      <c r="J1412"/>
      <c r="K1412"/>
      <c r="L1412"/>
      <c r="M1412"/>
      <c r="N1412"/>
      <c r="O1412"/>
      <c r="P1412"/>
      <c r="Q1412"/>
    </row>
    <row r="1413" spans="1:17" ht="15" x14ac:dyDescent="0.25">
      <c r="A1413"/>
      <c r="B1413"/>
      <c r="C1413"/>
      <c r="D1413"/>
      <c r="E1413"/>
      <c r="F1413"/>
      <c r="G1413"/>
      <c r="H1413"/>
      <c r="I1413"/>
      <c r="J1413"/>
      <c r="K1413"/>
      <c r="L1413"/>
      <c r="M1413"/>
      <c r="N1413"/>
      <c r="O1413"/>
      <c r="P1413"/>
      <c r="Q1413"/>
    </row>
    <row r="1414" spans="1:17" ht="15" x14ac:dyDescent="0.25">
      <c r="A1414"/>
      <c r="B1414"/>
      <c r="C1414"/>
      <c r="D1414"/>
      <c r="E1414"/>
      <c r="F1414"/>
      <c r="G1414"/>
      <c r="H1414"/>
      <c r="I1414"/>
      <c r="J1414"/>
      <c r="K1414"/>
      <c r="L1414"/>
      <c r="M1414"/>
      <c r="N1414"/>
      <c r="O1414"/>
      <c r="P1414"/>
      <c r="Q1414"/>
    </row>
    <row r="1415" spans="1:17" ht="15" x14ac:dyDescent="0.25">
      <c r="A1415"/>
      <c r="B1415"/>
      <c r="C1415"/>
      <c r="D1415"/>
      <c r="E1415"/>
      <c r="F1415"/>
      <c r="G1415"/>
      <c r="H1415"/>
      <c r="I1415"/>
      <c r="J1415"/>
      <c r="K1415"/>
      <c r="L1415"/>
      <c r="M1415"/>
      <c r="N1415"/>
      <c r="O1415"/>
      <c r="P1415"/>
      <c r="Q1415"/>
    </row>
    <row r="1416" spans="1:17" ht="15" x14ac:dyDescent="0.25">
      <c r="A1416"/>
      <c r="B1416"/>
      <c r="C1416"/>
      <c r="D1416"/>
      <c r="E1416"/>
      <c r="F1416"/>
      <c r="G1416"/>
      <c r="H1416"/>
      <c r="I1416"/>
      <c r="J1416"/>
      <c r="K1416"/>
      <c r="L1416"/>
      <c r="M1416"/>
      <c r="N1416"/>
      <c r="O1416"/>
      <c r="P1416"/>
      <c r="Q1416"/>
    </row>
    <row r="1417" spans="1:17" ht="15" x14ac:dyDescent="0.25">
      <c r="A1417"/>
      <c r="B1417"/>
      <c r="C1417"/>
      <c r="D1417"/>
      <c r="E1417"/>
      <c r="F1417"/>
      <c r="G1417"/>
      <c r="H1417"/>
      <c r="I1417"/>
      <c r="J1417"/>
      <c r="K1417"/>
      <c r="L1417"/>
      <c r="M1417"/>
      <c r="N1417"/>
      <c r="O1417"/>
      <c r="P1417"/>
      <c r="Q1417"/>
    </row>
    <row r="1418" spans="1:17" ht="15" x14ac:dyDescent="0.25">
      <c r="A1418"/>
      <c r="B1418"/>
      <c r="C1418"/>
      <c r="D1418"/>
      <c r="E1418"/>
      <c r="F1418"/>
      <c r="G1418"/>
      <c r="H1418"/>
      <c r="I1418"/>
      <c r="J1418"/>
      <c r="K1418"/>
      <c r="L1418"/>
      <c r="M1418"/>
      <c r="N1418"/>
      <c r="O1418"/>
      <c r="P1418"/>
      <c r="Q1418"/>
    </row>
    <row r="1419" spans="1:17" ht="15" x14ac:dyDescent="0.25">
      <c r="A1419"/>
      <c r="B1419"/>
      <c r="C1419"/>
      <c r="D1419"/>
      <c r="E1419"/>
      <c r="F1419"/>
      <c r="G1419"/>
      <c r="H1419"/>
      <c r="I1419"/>
      <c r="J1419"/>
      <c r="K1419"/>
      <c r="L1419"/>
      <c r="M1419"/>
      <c r="N1419"/>
      <c r="O1419"/>
      <c r="P1419"/>
      <c r="Q1419"/>
    </row>
    <row r="1420" spans="1:17" ht="15" x14ac:dyDescent="0.25">
      <c r="A1420"/>
      <c r="B1420"/>
      <c r="C1420"/>
      <c r="D1420"/>
      <c r="E1420"/>
      <c r="F1420"/>
      <c r="G1420"/>
      <c r="H1420"/>
      <c r="I1420"/>
      <c r="J1420"/>
      <c r="K1420"/>
      <c r="L1420"/>
      <c r="M1420"/>
      <c r="N1420"/>
      <c r="O1420"/>
      <c r="P1420"/>
      <c r="Q1420"/>
    </row>
    <row r="1421" spans="1:17" ht="15" x14ac:dyDescent="0.25">
      <c r="A1421"/>
      <c r="B1421"/>
      <c r="C1421"/>
      <c r="D1421"/>
      <c r="E1421"/>
      <c r="F1421"/>
      <c r="G1421"/>
      <c r="H1421"/>
      <c r="I1421"/>
      <c r="J1421"/>
      <c r="K1421"/>
      <c r="L1421"/>
      <c r="M1421"/>
      <c r="N1421"/>
      <c r="O1421"/>
      <c r="P1421"/>
      <c r="Q1421"/>
    </row>
    <row r="1422" spans="1:17" ht="15" x14ac:dyDescent="0.25">
      <c r="A1422"/>
      <c r="B1422"/>
      <c r="C1422"/>
      <c r="D1422"/>
      <c r="E1422"/>
      <c r="F1422"/>
      <c r="G1422"/>
      <c r="H1422"/>
      <c r="I1422"/>
      <c r="J1422"/>
      <c r="K1422"/>
      <c r="L1422"/>
      <c r="M1422"/>
      <c r="N1422"/>
      <c r="O1422"/>
      <c r="P1422"/>
      <c r="Q1422"/>
    </row>
    <row r="1423" spans="1:17" ht="15" x14ac:dyDescent="0.25">
      <c r="A1423"/>
      <c r="B1423"/>
      <c r="C1423"/>
      <c r="D1423"/>
      <c r="E1423"/>
      <c r="F1423"/>
      <c r="G1423"/>
      <c r="H1423"/>
      <c r="I1423"/>
      <c r="J1423"/>
      <c r="K1423"/>
      <c r="L1423"/>
      <c r="M1423"/>
      <c r="N1423"/>
      <c r="O1423"/>
      <c r="P1423"/>
      <c r="Q1423"/>
    </row>
    <row r="1424" spans="1:17" ht="15" x14ac:dyDescent="0.25">
      <c r="A1424"/>
      <c r="B1424"/>
      <c r="C1424"/>
      <c r="D1424"/>
      <c r="E1424"/>
      <c r="F1424"/>
      <c r="G1424"/>
      <c r="H1424"/>
      <c r="I1424"/>
      <c r="J1424"/>
      <c r="K1424"/>
      <c r="L1424"/>
      <c r="M1424"/>
      <c r="N1424"/>
      <c r="O1424"/>
      <c r="P1424"/>
      <c r="Q1424"/>
    </row>
    <row r="1425" spans="1:17" ht="15" x14ac:dyDescent="0.25">
      <c r="A1425"/>
      <c r="B1425"/>
      <c r="C1425"/>
      <c r="D1425"/>
      <c r="E1425"/>
      <c r="F1425"/>
      <c r="G1425"/>
      <c r="H1425"/>
      <c r="I1425"/>
      <c r="J1425"/>
      <c r="K1425"/>
      <c r="L1425"/>
      <c r="M1425"/>
      <c r="N1425"/>
      <c r="O1425"/>
      <c r="P1425"/>
      <c r="Q1425"/>
    </row>
    <row r="1426" spans="1:17" ht="15" x14ac:dyDescent="0.25">
      <c r="A1426"/>
      <c r="B1426"/>
      <c r="C1426"/>
      <c r="D1426"/>
      <c r="E1426"/>
      <c r="F1426"/>
      <c r="G1426"/>
      <c r="H1426"/>
      <c r="I1426"/>
      <c r="J1426"/>
      <c r="K1426"/>
      <c r="L1426"/>
      <c r="M1426"/>
      <c r="N1426"/>
      <c r="O1426"/>
      <c r="P1426"/>
      <c r="Q1426"/>
    </row>
    <row r="1427" spans="1:17" ht="15" x14ac:dyDescent="0.25">
      <c r="A1427"/>
      <c r="B1427"/>
      <c r="C1427"/>
      <c r="D1427"/>
      <c r="E1427"/>
      <c r="F1427"/>
      <c r="G1427"/>
      <c r="H1427"/>
      <c r="I1427"/>
      <c r="J1427"/>
      <c r="K1427"/>
      <c r="L1427"/>
      <c r="M1427"/>
      <c r="N1427"/>
      <c r="O1427"/>
      <c r="P1427"/>
      <c r="Q1427"/>
    </row>
    <row r="1428" spans="1:17" ht="15" x14ac:dyDescent="0.25">
      <c r="A1428"/>
      <c r="B1428"/>
      <c r="C1428"/>
      <c r="D1428"/>
      <c r="E1428"/>
      <c r="F1428"/>
      <c r="G1428"/>
      <c r="H1428"/>
      <c r="I1428"/>
      <c r="J1428"/>
      <c r="K1428"/>
      <c r="L1428"/>
      <c r="M1428"/>
      <c r="N1428"/>
      <c r="O1428"/>
      <c r="P1428"/>
      <c r="Q1428"/>
    </row>
    <row r="1429" spans="1:17" ht="15" x14ac:dyDescent="0.25">
      <c r="A1429"/>
      <c r="B1429"/>
      <c r="C1429"/>
      <c r="D1429"/>
      <c r="E1429"/>
      <c r="F1429"/>
      <c r="G1429"/>
      <c r="H1429"/>
      <c r="I1429"/>
      <c r="J1429"/>
      <c r="K1429"/>
      <c r="L1429"/>
      <c r="M1429"/>
      <c r="N1429"/>
      <c r="O1429"/>
      <c r="P1429"/>
      <c r="Q1429"/>
    </row>
    <row r="1430" spans="1:17" ht="15" x14ac:dyDescent="0.25">
      <c r="A1430"/>
      <c r="B1430"/>
      <c r="C1430"/>
      <c r="D1430"/>
      <c r="E1430"/>
      <c r="F1430"/>
      <c r="G1430"/>
      <c r="H1430"/>
      <c r="I1430"/>
      <c r="J1430"/>
      <c r="K1430"/>
      <c r="L1430"/>
      <c r="M1430"/>
      <c r="N1430"/>
      <c r="O1430"/>
      <c r="P1430"/>
      <c r="Q1430"/>
    </row>
    <row r="1431" spans="1:17" ht="15" x14ac:dyDescent="0.25">
      <c r="A1431"/>
      <c r="B1431"/>
      <c r="C1431"/>
      <c r="D1431"/>
      <c r="E1431"/>
      <c r="F1431"/>
      <c r="G1431"/>
      <c r="H1431"/>
      <c r="I1431"/>
      <c r="J1431"/>
      <c r="K1431"/>
      <c r="L1431"/>
      <c r="M1431"/>
      <c r="N1431"/>
      <c r="O1431"/>
      <c r="P1431"/>
      <c r="Q1431"/>
    </row>
    <row r="1432" spans="1:17" ht="15" x14ac:dyDescent="0.25">
      <c r="A1432"/>
      <c r="B1432"/>
      <c r="C1432"/>
      <c r="D1432"/>
      <c r="E1432"/>
      <c r="F1432"/>
      <c r="G1432"/>
      <c r="H1432"/>
      <c r="I1432"/>
      <c r="J1432"/>
      <c r="K1432"/>
      <c r="L1432"/>
      <c r="M1432"/>
      <c r="N1432"/>
      <c r="O1432"/>
      <c r="P1432"/>
      <c r="Q1432"/>
    </row>
    <row r="1433" spans="1:17" ht="15" x14ac:dyDescent="0.25">
      <c r="A1433"/>
      <c r="B1433"/>
      <c r="C1433"/>
      <c r="D1433"/>
      <c r="E1433"/>
      <c r="F1433"/>
      <c r="G1433"/>
      <c r="H1433"/>
      <c r="I1433"/>
      <c r="J1433"/>
      <c r="K1433"/>
      <c r="L1433"/>
      <c r="M1433"/>
      <c r="N1433"/>
      <c r="O1433"/>
      <c r="P1433"/>
      <c r="Q1433"/>
    </row>
    <row r="1434" spans="1:17" ht="15" x14ac:dyDescent="0.25">
      <c r="A1434"/>
      <c r="B1434"/>
      <c r="C1434"/>
      <c r="D1434"/>
      <c r="E1434"/>
      <c r="F1434"/>
      <c r="G1434"/>
      <c r="H1434"/>
      <c r="I1434"/>
      <c r="J1434"/>
      <c r="K1434"/>
      <c r="L1434"/>
      <c r="M1434"/>
      <c r="N1434"/>
      <c r="O1434"/>
      <c r="P1434"/>
      <c r="Q1434"/>
    </row>
    <row r="1435" spans="1:17" ht="15" x14ac:dyDescent="0.25">
      <c r="A1435"/>
      <c r="B1435"/>
      <c r="C1435"/>
      <c r="D1435"/>
      <c r="E1435"/>
      <c r="F1435"/>
      <c r="G1435"/>
      <c r="H1435"/>
      <c r="I1435"/>
      <c r="J1435"/>
      <c r="K1435"/>
      <c r="L1435"/>
      <c r="M1435"/>
      <c r="N1435"/>
      <c r="O1435"/>
      <c r="P1435"/>
      <c r="Q1435"/>
    </row>
    <row r="1436" spans="1:17" ht="15" x14ac:dyDescent="0.25">
      <c r="A1436"/>
      <c r="B1436"/>
      <c r="C1436"/>
      <c r="D1436"/>
      <c r="E1436"/>
      <c r="F1436"/>
      <c r="G1436"/>
      <c r="H1436"/>
      <c r="I1436"/>
      <c r="J1436"/>
      <c r="K1436"/>
      <c r="L1436"/>
      <c r="M1436"/>
      <c r="N1436"/>
      <c r="O1436"/>
      <c r="P1436"/>
      <c r="Q1436"/>
    </row>
    <row r="1437" spans="1:17" ht="15" x14ac:dyDescent="0.25">
      <c r="A1437"/>
      <c r="B1437"/>
      <c r="C1437"/>
      <c r="D1437"/>
      <c r="E1437"/>
      <c r="F1437"/>
      <c r="G1437"/>
      <c r="H1437"/>
      <c r="I1437"/>
      <c r="J1437"/>
      <c r="K1437"/>
      <c r="L1437"/>
      <c r="M1437"/>
      <c r="N1437"/>
      <c r="O1437"/>
      <c r="P1437"/>
      <c r="Q1437"/>
    </row>
    <row r="1438" spans="1:17" ht="15" x14ac:dyDescent="0.25">
      <c r="A1438"/>
      <c r="B1438"/>
      <c r="C1438"/>
      <c r="D1438"/>
      <c r="E1438"/>
      <c r="F1438"/>
      <c r="G1438"/>
      <c r="H1438"/>
      <c r="I1438"/>
      <c r="J1438"/>
      <c r="K1438"/>
      <c r="L1438"/>
      <c r="M1438"/>
      <c r="N1438"/>
      <c r="O1438"/>
      <c r="P1438"/>
      <c r="Q1438"/>
    </row>
    <row r="1439" spans="1:17" ht="15" x14ac:dyDescent="0.25">
      <c r="A1439"/>
      <c r="B1439"/>
      <c r="C1439"/>
      <c r="D1439"/>
      <c r="E1439"/>
      <c r="F1439"/>
      <c r="G1439"/>
      <c r="H1439"/>
      <c r="I1439"/>
      <c r="J1439"/>
      <c r="K1439"/>
      <c r="L1439"/>
      <c r="M1439"/>
      <c r="N1439"/>
      <c r="O1439"/>
      <c r="P1439"/>
      <c r="Q1439"/>
    </row>
    <row r="1440" spans="1:17" ht="15" x14ac:dyDescent="0.25">
      <c r="A1440"/>
      <c r="B1440"/>
      <c r="C1440"/>
      <c r="D1440"/>
      <c r="E1440"/>
      <c r="F1440"/>
      <c r="G1440"/>
      <c r="H1440"/>
      <c r="I1440"/>
      <c r="J1440"/>
      <c r="K1440"/>
      <c r="L1440"/>
      <c r="M1440"/>
      <c r="N1440"/>
      <c r="O1440"/>
      <c r="P1440"/>
      <c r="Q1440"/>
    </row>
    <row r="1441" spans="1:17" ht="15" x14ac:dyDescent="0.25">
      <c r="A1441"/>
      <c r="B1441"/>
      <c r="C1441"/>
      <c r="D1441"/>
      <c r="E1441"/>
      <c r="F1441"/>
      <c r="G1441"/>
      <c r="H1441"/>
      <c r="I1441"/>
      <c r="J1441"/>
      <c r="K1441"/>
      <c r="L1441"/>
      <c r="M1441"/>
      <c r="N1441"/>
      <c r="O1441"/>
      <c r="P1441"/>
      <c r="Q1441"/>
    </row>
    <row r="1442" spans="1:17" ht="15" x14ac:dyDescent="0.25">
      <c r="A1442"/>
      <c r="B1442"/>
      <c r="C1442"/>
      <c r="D1442"/>
      <c r="E1442"/>
      <c r="F1442"/>
      <c r="G1442"/>
      <c r="H1442"/>
      <c r="I1442"/>
      <c r="J1442"/>
      <c r="K1442"/>
      <c r="L1442"/>
      <c r="M1442"/>
      <c r="N1442"/>
      <c r="O1442"/>
      <c r="P1442"/>
      <c r="Q1442"/>
    </row>
    <row r="1443" spans="1:17" ht="15" x14ac:dyDescent="0.25">
      <c r="A1443"/>
      <c r="B1443"/>
      <c r="C1443"/>
      <c r="D1443"/>
      <c r="E1443"/>
      <c r="F1443"/>
      <c r="G1443"/>
      <c r="H1443"/>
      <c r="I1443"/>
      <c r="J1443"/>
      <c r="K1443"/>
      <c r="L1443"/>
      <c r="M1443"/>
      <c r="N1443"/>
      <c r="O1443"/>
      <c r="P1443"/>
      <c r="Q1443"/>
    </row>
    <row r="1444" spans="1:17" ht="15" x14ac:dyDescent="0.25">
      <c r="A1444"/>
      <c r="B1444"/>
      <c r="C1444"/>
      <c r="D1444"/>
      <c r="E1444"/>
      <c r="F1444"/>
      <c r="G1444"/>
      <c r="H1444"/>
      <c r="I1444"/>
      <c r="J1444"/>
      <c r="K1444"/>
      <c r="L1444"/>
      <c r="M1444"/>
      <c r="N1444"/>
      <c r="O1444"/>
      <c r="P1444"/>
      <c r="Q1444"/>
    </row>
    <row r="1445" spans="1:17" ht="15" x14ac:dyDescent="0.25">
      <c r="A1445"/>
      <c r="B1445"/>
      <c r="C1445"/>
      <c r="D1445"/>
      <c r="E1445"/>
      <c r="F1445"/>
      <c r="G1445"/>
      <c r="H1445"/>
      <c r="I1445"/>
      <c r="J1445"/>
      <c r="K1445"/>
      <c r="L1445"/>
      <c r="M1445"/>
      <c r="N1445"/>
      <c r="O1445"/>
      <c r="P1445"/>
      <c r="Q1445"/>
    </row>
    <row r="1446" spans="1:17" ht="15" x14ac:dyDescent="0.25">
      <c r="A1446"/>
      <c r="B1446"/>
      <c r="C1446"/>
      <c r="D1446"/>
      <c r="E1446"/>
      <c r="F1446"/>
      <c r="G1446"/>
      <c r="H1446"/>
      <c r="I1446"/>
      <c r="J1446"/>
      <c r="K1446"/>
      <c r="L1446"/>
      <c r="M1446"/>
      <c r="N1446"/>
      <c r="O1446"/>
      <c r="P1446"/>
      <c r="Q1446"/>
    </row>
    <row r="1447" spans="1:17" ht="15" x14ac:dyDescent="0.25">
      <c r="A1447"/>
      <c r="B1447"/>
      <c r="C1447"/>
      <c r="D1447"/>
      <c r="E1447"/>
      <c r="F1447"/>
      <c r="G1447"/>
      <c r="H1447"/>
      <c r="I1447"/>
      <c r="J1447"/>
      <c r="K1447"/>
      <c r="L1447"/>
      <c r="M1447"/>
      <c r="N1447"/>
      <c r="O1447"/>
      <c r="P1447"/>
      <c r="Q1447"/>
    </row>
    <row r="1448" spans="1:17" ht="15" x14ac:dyDescent="0.25">
      <c r="A1448"/>
      <c r="B1448"/>
      <c r="C1448"/>
      <c r="D1448"/>
      <c r="E1448"/>
      <c r="F1448"/>
      <c r="G1448"/>
      <c r="H1448"/>
      <c r="I1448"/>
      <c r="J1448"/>
      <c r="K1448"/>
      <c r="L1448"/>
      <c r="M1448"/>
      <c r="N1448"/>
      <c r="O1448"/>
      <c r="P1448"/>
      <c r="Q1448"/>
    </row>
    <row r="1449" spans="1:17" ht="15" x14ac:dyDescent="0.25">
      <c r="A1449"/>
      <c r="B1449"/>
      <c r="C1449"/>
      <c r="D1449"/>
      <c r="E1449"/>
      <c r="F1449"/>
      <c r="G1449"/>
      <c r="H1449"/>
      <c r="I1449"/>
      <c r="J1449"/>
      <c r="K1449"/>
      <c r="L1449"/>
      <c r="M1449"/>
      <c r="N1449"/>
      <c r="O1449"/>
      <c r="P1449"/>
      <c r="Q1449"/>
    </row>
    <row r="1450" spans="1:17" ht="15" x14ac:dyDescent="0.25">
      <c r="A1450"/>
      <c r="B1450"/>
      <c r="C1450"/>
      <c r="D1450"/>
      <c r="E1450"/>
      <c r="F1450"/>
      <c r="G1450"/>
      <c r="H1450"/>
      <c r="I1450"/>
      <c r="J1450"/>
      <c r="K1450"/>
      <c r="L1450"/>
      <c r="M1450"/>
      <c r="N1450"/>
      <c r="O1450"/>
      <c r="P1450"/>
      <c r="Q1450"/>
    </row>
    <row r="1451" spans="1:17" ht="15" x14ac:dyDescent="0.25">
      <c r="A1451"/>
      <c r="B1451"/>
      <c r="C1451"/>
      <c r="D1451"/>
      <c r="E1451"/>
      <c r="F1451"/>
      <c r="G1451"/>
      <c r="H1451"/>
      <c r="I1451"/>
      <c r="J1451"/>
      <c r="K1451"/>
      <c r="L1451"/>
      <c r="M1451"/>
      <c r="N1451"/>
      <c r="O1451"/>
      <c r="P1451"/>
      <c r="Q1451"/>
    </row>
    <row r="1452" spans="1:17" ht="15" x14ac:dyDescent="0.25">
      <c r="A1452"/>
      <c r="B1452"/>
      <c r="C1452"/>
      <c r="D1452"/>
      <c r="E1452"/>
      <c r="F1452"/>
      <c r="G1452"/>
      <c r="H1452"/>
      <c r="I1452"/>
      <c r="J1452"/>
      <c r="K1452"/>
      <c r="L1452"/>
      <c r="M1452"/>
      <c r="N1452"/>
      <c r="O1452"/>
      <c r="P1452"/>
      <c r="Q1452"/>
    </row>
    <row r="1453" spans="1:17" ht="15" x14ac:dyDescent="0.25">
      <c r="A1453"/>
      <c r="B1453"/>
      <c r="C1453"/>
      <c r="D1453"/>
      <c r="E1453"/>
      <c r="F1453"/>
      <c r="G1453"/>
      <c r="H1453"/>
      <c r="I1453"/>
      <c r="J1453"/>
      <c r="K1453"/>
      <c r="L1453"/>
      <c r="M1453"/>
      <c r="N1453"/>
      <c r="O1453"/>
      <c r="P1453"/>
      <c r="Q1453"/>
    </row>
    <row r="1454" spans="1:17" ht="15" x14ac:dyDescent="0.25">
      <c r="A1454"/>
      <c r="B1454"/>
      <c r="C1454"/>
      <c r="D1454"/>
      <c r="E1454"/>
      <c r="F1454"/>
      <c r="G1454"/>
      <c r="H1454"/>
      <c r="I1454"/>
      <c r="J1454"/>
      <c r="K1454"/>
      <c r="L1454"/>
      <c r="M1454"/>
      <c r="N1454"/>
      <c r="O1454"/>
      <c r="P1454"/>
      <c r="Q1454"/>
    </row>
    <row r="1455" spans="1:17" ht="15" x14ac:dyDescent="0.25">
      <c r="A1455"/>
      <c r="B1455"/>
      <c r="C1455"/>
      <c r="D1455"/>
      <c r="E1455"/>
      <c r="F1455"/>
      <c r="G1455"/>
      <c r="H1455"/>
      <c r="I1455"/>
      <c r="J1455"/>
      <c r="K1455"/>
      <c r="L1455"/>
      <c r="M1455"/>
      <c r="N1455"/>
      <c r="O1455"/>
      <c r="P1455"/>
      <c r="Q1455"/>
    </row>
    <row r="1456" spans="1:17" ht="15" x14ac:dyDescent="0.25">
      <c r="A1456"/>
      <c r="B1456"/>
      <c r="C1456"/>
      <c r="D1456"/>
      <c r="E1456"/>
      <c r="F1456"/>
      <c r="G1456"/>
      <c r="H1456"/>
      <c r="I1456"/>
      <c r="J1456"/>
      <c r="K1456"/>
      <c r="L1456"/>
      <c r="M1456"/>
      <c r="N1456"/>
      <c r="O1456"/>
      <c r="P1456"/>
      <c r="Q1456"/>
    </row>
    <row r="1457" spans="1:17" ht="15" x14ac:dyDescent="0.25">
      <c r="A1457"/>
      <c r="B1457"/>
      <c r="C1457"/>
      <c r="D1457"/>
      <c r="E1457"/>
      <c r="F1457"/>
      <c r="G1457"/>
      <c r="H1457"/>
      <c r="I1457"/>
      <c r="J1457"/>
      <c r="K1457"/>
      <c r="L1457"/>
      <c r="M1457"/>
      <c r="N1457"/>
      <c r="O1457"/>
      <c r="P1457"/>
      <c r="Q1457"/>
    </row>
    <row r="1458" spans="1:17" ht="15" x14ac:dyDescent="0.25">
      <c r="A1458"/>
      <c r="B1458"/>
      <c r="C1458"/>
      <c r="D1458"/>
      <c r="E1458"/>
      <c r="F1458"/>
      <c r="G1458"/>
      <c r="H1458"/>
      <c r="I1458"/>
      <c r="J1458"/>
      <c r="K1458"/>
      <c r="L1458"/>
      <c r="M1458"/>
      <c r="N1458"/>
      <c r="O1458"/>
      <c r="P1458"/>
      <c r="Q1458"/>
    </row>
    <row r="1459" spans="1:17" ht="15" x14ac:dyDescent="0.25">
      <c r="A1459"/>
      <c r="B1459"/>
      <c r="C1459"/>
      <c r="D1459"/>
      <c r="E1459"/>
      <c r="F1459"/>
      <c r="G1459"/>
      <c r="H1459"/>
      <c r="I1459"/>
      <c r="J1459"/>
      <c r="K1459"/>
      <c r="L1459"/>
      <c r="M1459"/>
      <c r="N1459"/>
      <c r="O1459"/>
      <c r="P1459"/>
      <c r="Q1459"/>
    </row>
    <row r="1460" spans="1:17" ht="15" x14ac:dyDescent="0.25">
      <c r="A1460"/>
      <c r="B1460"/>
      <c r="C1460"/>
      <c r="D1460"/>
      <c r="E1460"/>
      <c r="F1460"/>
      <c r="G1460"/>
      <c r="H1460"/>
      <c r="I1460"/>
      <c r="J1460"/>
      <c r="K1460"/>
      <c r="L1460"/>
      <c r="M1460"/>
      <c r="N1460"/>
      <c r="O1460"/>
      <c r="P1460"/>
      <c r="Q1460"/>
    </row>
    <row r="1461" spans="1:17" ht="15" x14ac:dyDescent="0.25">
      <c r="A1461"/>
      <c r="B1461"/>
      <c r="C1461"/>
      <c r="D1461"/>
      <c r="E1461"/>
      <c r="F1461"/>
      <c r="G1461"/>
      <c r="H1461"/>
      <c r="I1461"/>
      <c r="J1461"/>
      <c r="K1461"/>
      <c r="L1461"/>
      <c r="M1461"/>
      <c r="N1461"/>
      <c r="O1461"/>
      <c r="P1461"/>
      <c r="Q1461"/>
    </row>
    <row r="1462" spans="1:17" ht="15" x14ac:dyDescent="0.25">
      <c r="A1462"/>
      <c r="B1462"/>
      <c r="C1462"/>
      <c r="D1462"/>
      <c r="E1462"/>
      <c r="F1462"/>
      <c r="G1462"/>
      <c r="H1462"/>
      <c r="I1462"/>
      <c r="J1462"/>
      <c r="K1462"/>
      <c r="L1462"/>
      <c r="M1462"/>
      <c r="N1462"/>
      <c r="O1462"/>
      <c r="P1462"/>
      <c r="Q1462"/>
    </row>
    <row r="1463" spans="1:17" ht="15" x14ac:dyDescent="0.25">
      <c r="A1463"/>
      <c r="B1463"/>
      <c r="C1463"/>
      <c r="D1463"/>
      <c r="E1463"/>
      <c r="F1463"/>
      <c r="G1463"/>
      <c r="H1463"/>
      <c r="I1463"/>
      <c r="J1463"/>
      <c r="K1463"/>
      <c r="L1463"/>
      <c r="M1463"/>
      <c r="N1463"/>
      <c r="O1463"/>
      <c r="P1463"/>
      <c r="Q1463"/>
    </row>
    <row r="1464" spans="1:17" ht="15" x14ac:dyDescent="0.25">
      <c r="A1464"/>
      <c r="B1464"/>
      <c r="C1464"/>
      <c r="D1464"/>
      <c r="E1464"/>
      <c r="F1464"/>
      <c r="G1464"/>
      <c r="H1464"/>
      <c r="I1464"/>
      <c r="J1464"/>
      <c r="K1464"/>
      <c r="L1464"/>
      <c r="M1464"/>
      <c r="N1464"/>
      <c r="O1464"/>
      <c r="P1464"/>
      <c r="Q1464"/>
    </row>
    <row r="1465" spans="1:17" ht="15" x14ac:dyDescent="0.25">
      <c r="A1465"/>
      <c r="B1465"/>
      <c r="C1465"/>
      <c r="D1465"/>
      <c r="E1465"/>
      <c r="F1465"/>
      <c r="G1465"/>
      <c r="H1465"/>
      <c r="I1465"/>
      <c r="J1465"/>
      <c r="K1465"/>
      <c r="L1465"/>
      <c r="M1465"/>
      <c r="N1465"/>
      <c r="O1465"/>
      <c r="P1465"/>
      <c r="Q1465"/>
    </row>
    <row r="1466" spans="1:17" ht="15" x14ac:dyDescent="0.25">
      <c r="A1466"/>
      <c r="B1466"/>
      <c r="C1466"/>
      <c r="D1466"/>
      <c r="E1466"/>
      <c r="F1466"/>
      <c r="G1466"/>
      <c r="H1466"/>
      <c r="I1466"/>
      <c r="J1466"/>
      <c r="K1466"/>
      <c r="L1466"/>
      <c r="M1466"/>
      <c r="N1466"/>
      <c r="O1466"/>
      <c r="P1466"/>
      <c r="Q1466"/>
    </row>
    <row r="1467" spans="1:17" ht="15" x14ac:dyDescent="0.25">
      <c r="A1467"/>
      <c r="B1467"/>
      <c r="C1467"/>
      <c r="D1467"/>
      <c r="E1467"/>
      <c r="F1467"/>
      <c r="G1467"/>
      <c r="H1467"/>
      <c r="I1467"/>
      <c r="J1467"/>
      <c r="K1467"/>
      <c r="L1467"/>
      <c r="M1467"/>
      <c r="N1467"/>
      <c r="O1467"/>
      <c r="P1467"/>
      <c r="Q1467"/>
    </row>
    <row r="1468" spans="1:17" ht="15" x14ac:dyDescent="0.25">
      <c r="A1468"/>
      <c r="B1468"/>
      <c r="C1468"/>
      <c r="D1468"/>
      <c r="E1468"/>
      <c r="F1468"/>
      <c r="G1468"/>
      <c r="H1468"/>
      <c r="I1468"/>
      <c r="J1468"/>
      <c r="K1468"/>
      <c r="L1468"/>
      <c r="M1468"/>
      <c r="N1468"/>
      <c r="O1468"/>
      <c r="P1468"/>
      <c r="Q1468"/>
    </row>
    <row r="1469" spans="1:17" ht="15" x14ac:dyDescent="0.25">
      <c r="A1469"/>
      <c r="B1469"/>
      <c r="C1469"/>
      <c r="D1469"/>
      <c r="E1469"/>
      <c r="F1469"/>
      <c r="G1469"/>
      <c r="H1469"/>
      <c r="I1469"/>
      <c r="J1469"/>
      <c r="K1469"/>
      <c r="L1469"/>
      <c r="M1469"/>
      <c r="N1469"/>
      <c r="O1469"/>
      <c r="P1469"/>
      <c r="Q1469"/>
    </row>
    <row r="1470" spans="1:17" ht="15" x14ac:dyDescent="0.25">
      <c r="A1470"/>
      <c r="B1470"/>
      <c r="C1470"/>
      <c r="D1470"/>
      <c r="E1470"/>
      <c r="F1470"/>
      <c r="G1470"/>
      <c r="H1470"/>
      <c r="I1470"/>
      <c r="J1470"/>
      <c r="K1470"/>
      <c r="L1470"/>
      <c r="M1470"/>
      <c r="N1470"/>
      <c r="O1470"/>
      <c r="P1470"/>
      <c r="Q1470"/>
    </row>
    <row r="1471" spans="1:17" ht="15" x14ac:dyDescent="0.25">
      <c r="A1471"/>
      <c r="B1471"/>
      <c r="C1471"/>
      <c r="D1471"/>
      <c r="E1471"/>
      <c r="F1471"/>
      <c r="G1471"/>
      <c r="H1471"/>
      <c r="I1471"/>
      <c r="J1471"/>
      <c r="K1471"/>
      <c r="L1471"/>
      <c r="M1471"/>
      <c r="N1471"/>
      <c r="O1471"/>
      <c r="P1471"/>
      <c r="Q1471"/>
    </row>
    <row r="1472" spans="1:17" ht="15" x14ac:dyDescent="0.25">
      <c r="A1472"/>
      <c r="B1472"/>
      <c r="C1472"/>
      <c r="D1472"/>
      <c r="E1472"/>
      <c r="F1472"/>
      <c r="G1472"/>
      <c r="H1472"/>
      <c r="I1472"/>
      <c r="J1472"/>
      <c r="K1472"/>
      <c r="L1472"/>
      <c r="M1472"/>
      <c r="N1472"/>
      <c r="O1472"/>
      <c r="P1472"/>
      <c r="Q1472"/>
    </row>
    <row r="1473" spans="1:17" ht="15" x14ac:dyDescent="0.25">
      <c r="A1473"/>
      <c r="B1473"/>
      <c r="C1473"/>
      <c r="D1473"/>
      <c r="E1473"/>
      <c r="F1473"/>
      <c r="G1473"/>
      <c r="H1473"/>
      <c r="I1473"/>
      <c r="J1473"/>
      <c r="K1473"/>
      <c r="L1473"/>
      <c r="M1473"/>
      <c r="N1473"/>
      <c r="O1473"/>
      <c r="P1473"/>
      <c r="Q1473"/>
    </row>
    <row r="1474" spans="1:17" ht="15" x14ac:dyDescent="0.25">
      <c r="A1474"/>
      <c r="B1474"/>
      <c r="C1474"/>
      <c r="D1474"/>
      <c r="E1474"/>
      <c r="F1474"/>
      <c r="G1474"/>
      <c r="H1474"/>
      <c r="I1474"/>
      <c r="J1474"/>
      <c r="K1474"/>
      <c r="L1474"/>
      <c r="M1474"/>
      <c r="N1474"/>
      <c r="O1474"/>
      <c r="P1474"/>
      <c r="Q1474"/>
    </row>
    <row r="1475" spans="1:17" ht="15" x14ac:dyDescent="0.25">
      <c r="A1475"/>
      <c r="B1475"/>
      <c r="C1475"/>
      <c r="D1475"/>
      <c r="E1475"/>
      <c r="F1475"/>
      <c r="G1475"/>
      <c r="H1475"/>
      <c r="I1475"/>
      <c r="J1475"/>
      <c r="K1475"/>
      <c r="L1475"/>
      <c r="M1475"/>
      <c r="N1475"/>
      <c r="O1475"/>
      <c r="P1475"/>
      <c r="Q1475"/>
    </row>
    <row r="1476" spans="1:17" ht="15" x14ac:dyDescent="0.25">
      <c r="A1476"/>
      <c r="B1476"/>
      <c r="C1476"/>
      <c r="D1476"/>
      <c r="E1476"/>
      <c r="F1476"/>
      <c r="G1476"/>
      <c r="H1476"/>
      <c r="I1476"/>
      <c r="J1476"/>
      <c r="K1476"/>
      <c r="L1476"/>
      <c r="M1476"/>
      <c r="N1476"/>
      <c r="O1476"/>
      <c r="P1476"/>
      <c r="Q1476"/>
    </row>
    <row r="1477" spans="1:17" ht="15" x14ac:dyDescent="0.25">
      <c r="A1477"/>
      <c r="B1477"/>
      <c r="C1477"/>
      <c r="D1477"/>
      <c r="E1477"/>
      <c r="F1477"/>
      <c r="G1477"/>
      <c r="H1477"/>
      <c r="I1477"/>
      <c r="J1477"/>
      <c r="K1477"/>
      <c r="L1477"/>
      <c r="M1477"/>
      <c r="N1477"/>
      <c r="O1477"/>
      <c r="P1477"/>
      <c r="Q1477"/>
    </row>
    <row r="1478" spans="1:17" ht="15" x14ac:dyDescent="0.25">
      <c r="A1478"/>
      <c r="B1478"/>
      <c r="C1478"/>
      <c r="D1478"/>
      <c r="E1478"/>
      <c r="F1478"/>
      <c r="G1478"/>
      <c r="H1478"/>
      <c r="I1478"/>
      <c r="J1478"/>
      <c r="K1478"/>
      <c r="L1478"/>
      <c r="M1478"/>
      <c r="N1478"/>
      <c r="O1478"/>
      <c r="P1478"/>
      <c r="Q1478"/>
    </row>
    <row r="1479" spans="1:17" ht="15" x14ac:dyDescent="0.25">
      <c r="A1479"/>
      <c r="B1479"/>
      <c r="C1479"/>
      <c r="D1479"/>
      <c r="E1479"/>
      <c r="F1479"/>
      <c r="G1479"/>
      <c r="H1479"/>
      <c r="I1479"/>
      <c r="J1479"/>
      <c r="K1479"/>
      <c r="L1479"/>
      <c r="M1479"/>
      <c r="N1479"/>
      <c r="O1479"/>
      <c r="P1479"/>
      <c r="Q1479"/>
    </row>
    <row r="1480" spans="1:17" ht="15" x14ac:dyDescent="0.25">
      <c r="A1480"/>
      <c r="B1480"/>
      <c r="C1480"/>
      <c r="D1480"/>
      <c r="E1480"/>
      <c r="F1480"/>
      <c r="G1480"/>
      <c r="H1480"/>
      <c r="I1480"/>
      <c r="J1480"/>
      <c r="K1480"/>
      <c r="L1480"/>
      <c r="M1480"/>
      <c r="N1480"/>
      <c r="O1480"/>
      <c r="P1480"/>
      <c r="Q1480"/>
    </row>
    <row r="1481" spans="1:17" ht="15" x14ac:dyDescent="0.25">
      <c r="A1481"/>
      <c r="B1481"/>
      <c r="C1481"/>
      <c r="D1481"/>
      <c r="E1481"/>
      <c r="F1481"/>
      <c r="G1481"/>
      <c r="H1481"/>
      <c r="I1481"/>
      <c r="J1481"/>
      <c r="K1481"/>
      <c r="L1481"/>
      <c r="M1481"/>
      <c r="N1481"/>
      <c r="O1481"/>
      <c r="P1481"/>
      <c r="Q1481"/>
    </row>
    <row r="1482" spans="1:17" ht="15" x14ac:dyDescent="0.25">
      <c r="A1482"/>
      <c r="B1482"/>
      <c r="C1482"/>
      <c r="D1482"/>
      <c r="E1482"/>
      <c r="F1482"/>
      <c r="G1482"/>
      <c r="H1482"/>
      <c r="I1482"/>
      <c r="J1482"/>
      <c r="K1482"/>
      <c r="L1482"/>
      <c r="M1482"/>
      <c r="N1482"/>
      <c r="O1482"/>
      <c r="P1482"/>
      <c r="Q1482"/>
    </row>
    <row r="1483" spans="1:17" ht="15" x14ac:dyDescent="0.25">
      <c r="A1483"/>
      <c r="B1483"/>
      <c r="C1483"/>
      <c r="D1483"/>
      <c r="E1483"/>
      <c r="F1483"/>
      <c r="G1483"/>
      <c r="H1483"/>
      <c r="I1483"/>
      <c r="J1483"/>
      <c r="K1483"/>
      <c r="L1483"/>
      <c r="M1483"/>
      <c r="N1483"/>
      <c r="O1483"/>
      <c r="P1483"/>
      <c r="Q1483"/>
    </row>
    <row r="1484" spans="1:17" ht="15" x14ac:dyDescent="0.25">
      <c r="A1484"/>
      <c r="B1484"/>
      <c r="C1484"/>
      <c r="D1484"/>
      <c r="E1484"/>
      <c r="F1484"/>
      <c r="G1484"/>
      <c r="H1484"/>
      <c r="I1484"/>
      <c r="J1484"/>
      <c r="K1484"/>
      <c r="L1484"/>
      <c r="M1484"/>
      <c r="N1484"/>
      <c r="O1484"/>
      <c r="P1484"/>
      <c r="Q1484"/>
    </row>
    <row r="1485" spans="1:17" ht="15" x14ac:dyDescent="0.25">
      <c r="A1485"/>
      <c r="B1485"/>
      <c r="C1485"/>
      <c r="D1485"/>
      <c r="E1485"/>
      <c r="F1485"/>
      <c r="G1485"/>
      <c r="H1485"/>
      <c r="I1485"/>
      <c r="J1485"/>
      <c r="K1485"/>
      <c r="L1485"/>
      <c r="M1485"/>
      <c r="N1485"/>
      <c r="O1485"/>
      <c r="P1485"/>
      <c r="Q1485"/>
    </row>
    <row r="1486" spans="1:17" ht="15" x14ac:dyDescent="0.25">
      <c r="A1486"/>
      <c r="B1486"/>
      <c r="C1486"/>
      <c r="D1486"/>
      <c r="E1486"/>
      <c r="F1486"/>
      <c r="G1486"/>
      <c r="H1486"/>
      <c r="I1486"/>
      <c r="J1486"/>
      <c r="K1486"/>
      <c r="L1486"/>
      <c r="M1486"/>
      <c r="N1486"/>
      <c r="O1486"/>
      <c r="P1486"/>
      <c r="Q1486"/>
    </row>
    <row r="1487" spans="1:17" ht="15" x14ac:dyDescent="0.25">
      <c r="A1487"/>
      <c r="B1487"/>
      <c r="C1487"/>
      <c r="D1487"/>
      <c r="E1487"/>
      <c r="F1487"/>
      <c r="G1487"/>
      <c r="H1487"/>
      <c r="I1487"/>
      <c r="J1487"/>
      <c r="K1487"/>
      <c r="L1487"/>
      <c r="M1487"/>
      <c r="N1487"/>
      <c r="O1487"/>
      <c r="P1487"/>
      <c r="Q1487"/>
    </row>
    <row r="1488" spans="1:17" ht="15" x14ac:dyDescent="0.25">
      <c r="A1488"/>
      <c r="B1488"/>
      <c r="C1488"/>
      <c r="D1488"/>
      <c r="E1488"/>
      <c r="F1488"/>
      <c r="G1488"/>
      <c r="H1488"/>
      <c r="I1488"/>
      <c r="J1488"/>
      <c r="K1488"/>
      <c r="L1488"/>
      <c r="M1488"/>
      <c r="N1488"/>
      <c r="O1488"/>
      <c r="P1488"/>
      <c r="Q1488"/>
    </row>
    <row r="1489" spans="1:17" ht="15" x14ac:dyDescent="0.25">
      <c r="A1489"/>
      <c r="B1489"/>
      <c r="C1489"/>
      <c r="D1489"/>
      <c r="E1489"/>
      <c r="F1489"/>
      <c r="G1489"/>
      <c r="H1489"/>
      <c r="I1489"/>
      <c r="J1489"/>
      <c r="K1489"/>
      <c r="L1489"/>
      <c r="M1489"/>
      <c r="N1489"/>
      <c r="O1489"/>
      <c r="P1489"/>
      <c r="Q1489"/>
    </row>
    <row r="1490" spans="1:17" ht="15" x14ac:dyDescent="0.25">
      <c r="A1490"/>
      <c r="B1490"/>
      <c r="C1490"/>
      <c r="D1490"/>
      <c r="E1490"/>
      <c r="F1490"/>
      <c r="G1490"/>
      <c r="H1490"/>
      <c r="I1490"/>
      <c r="J1490"/>
      <c r="K1490"/>
      <c r="L1490"/>
      <c r="M1490"/>
      <c r="N1490"/>
      <c r="O1490"/>
      <c r="P1490"/>
      <c r="Q1490"/>
    </row>
    <row r="1491" spans="1:17" ht="15" x14ac:dyDescent="0.25">
      <c r="A1491"/>
      <c r="B1491"/>
      <c r="C1491"/>
      <c r="D1491"/>
      <c r="E1491"/>
      <c r="F1491"/>
      <c r="G1491"/>
      <c r="H1491"/>
      <c r="I1491"/>
      <c r="J1491"/>
      <c r="K1491"/>
      <c r="L1491"/>
      <c r="M1491"/>
      <c r="N1491"/>
      <c r="O1491"/>
      <c r="P1491"/>
      <c r="Q1491"/>
    </row>
    <row r="1492" spans="1:17" ht="15" x14ac:dyDescent="0.25">
      <c r="A1492"/>
      <c r="B1492"/>
      <c r="C1492"/>
      <c r="D1492"/>
      <c r="E1492"/>
      <c r="F1492"/>
      <c r="G1492"/>
      <c r="H1492"/>
      <c r="I1492"/>
      <c r="J1492"/>
      <c r="K1492"/>
      <c r="L1492"/>
      <c r="M1492"/>
      <c r="N1492"/>
      <c r="O1492"/>
      <c r="P1492"/>
      <c r="Q1492"/>
    </row>
    <row r="1493" spans="1:17" ht="15" x14ac:dyDescent="0.25">
      <c r="A1493"/>
      <c r="B1493"/>
      <c r="C1493"/>
      <c r="D1493"/>
      <c r="E1493"/>
      <c r="F1493"/>
      <c r="G1493"/>
      <c r="H1493"/>
      <c r="I1493"/>
      <c r="J1493"/>
      <c r="K1493"/>
      <c r="L1493"/>
      <c r="M1493"/>
      <c r="N1493"/>
      <c r="O1493"/>
      <c r="P1493"/>
      <c r="Q1493"/>
    </row>
    <row r="1494" spans="1:17" ht="15" x14ac:dyDescent="0.25">
      <c r="A1494"/>
      <c r="B1494"/>
      <c r="C1494"/>
      <c r="D1494"/>
      <c r="E1494"/>
      <c r="F1494"/>
      <c r="G1494"/>
      <c r="H1494"/>
      <c r="I1494"/>
      <c r="J1494"/>
      <c r="K1494"/>
      <c r="L1494"/>
      <c r="M1494"/>
      <c r="N1494"/>
      <c r="O1494"/>
      <c r="P1494"/>
      <c r="Q1494"/>
    </row>
    <row r="1495" spans="1:17" ht="15" x14ac:dyDescent="0.25">
      <c r="A1495"/>
      <c r="B1495"/>
      <c r="C1495"/>
      <c r="D1495"/>
      <c r="E1495"/>
      <c r="F1495"/>
      <c r="G1495"/>
      <c r="H1495"/>
      <c r="I1495"/>
      <c r="J1495"/>
      <c r="K1495"/>
      <c r="L1495"/>
      <c r="M1495"/>
      <c r="N1495"/>
      <c r="O1495"/>
      <c r="P1495"/>
      <c r="Q1495"/>
    </row>
    <row r="1496" spans="1:17" ht="15" x14ac:dyDescent="0.25">
      <c r="A1496"/>
      <c r="B1496"/>
      <c r="C1496"/>
      <c r="D1496"/>
      <c r="E1496"/>
      <c r="F1496"/>
      <c r="G1496"/>
      <c r="H1496"/>
      <c r="I1496"/>
      <c r="J1496"/>
      <c r="K1496"/>
      <c r="L1496"/>
      <c r="M1496"/>
      <c r="N1496"/>
      <c r="O1496"/>
      <c r="P1496"/>
      <c r="Q1496"/>
    </row>
    <row r="1497" spans="1:17" ht="15" x14ac:dyDescent="0.25">
      <c r="A1497"/>
      <c r="B1497"/>
      <c r="C1497"/>
      <c r="D1497"/>
      <c r="E1497"/>
      <c r="F1497"/>
      <c r="G1497"/>
      <c r="H1497"/>
      <c r="I1497"/>
      <c r="J1497"/>
      <c r="K1497"/>
      <c r="L1497"/>
      <c r="M1497"/>
      <c r="N1497"/>
      <c r="O1497"/>
      <c r="P1497"/>
      <c r="Q1497"/>
    </row>
    <row r="1498" spans="1:17" ht="15" x14ac:dyDescent="0.25">
      <c r="A1498"/>
      <c r="B1498"/>
      <c r="C1498"/>
      <c r="D1498"/>
      <c r="E1498"/>
      <c r="F1498"/>
      <c r="G1498"/>
      <c r="H1498"/>
      <c r="I1498"/>
      <c r="J1498"/>
      <c r="K1498"/>
      <c r="L1498"/>
      <c r="M1498"/>
      <c r="N1498"/>
      <c r="O1498"/>
      <c r="P1498"/>
      <c r="Q1498"/>
    </row>
    <row r="1499" spans="1:17" ht="15" x14ac:dyDescent="0.25">
      <c r="A1499"/>
      <c r="B1499"/>
      <c r="C1499"/>
      <c r="D1499"/>
      <c r="E1499"/>
      <c r="F1499"/>
      <c r="G1499"/>
      <c r="H1499"/>
      <c r="I1499"/>
      <c r="J1499"/>
      <c r="K1499"/>
      <c r="L1499"/>
      <c r="M1499"/>
      <c r="N1499"/>
      <c r="O1499"/>
      <c r="P1499"/>
      <c r="Q1499"/>
    </row>
    <row r="1500" spans="1:17" ht="15" x14ac:dyDescent="0.25">
      <c r="A1500"/>
      <c r="B1500"/>
      <c r="C1500"/>
      <c r="D1500"/>
      <c r="E1500"/>
      <c r="F1500"/>
      <c r="G1500"/>
      <c r="H1500"/>
      <c r="I1500"/>
      <c r="J1500"/>
      <c r="K1500"/>
      <c r="L1500"/>
      <c r="M1500"/>
      <c r="N1500"/>
      <c r="O1500"/>
      <c r="P1500"/>
      <c r="Q1500"/>
    </row>
    <row r="1501" spans="1:17" ht="15" x14ac:dyDescent="0.25">
      <c r="A1501"/>
      <c r="B1501"/>
      <c r="C1501"/>
      <c r="D1501"/>
      <c r="E1501"/>
      <c r="F1501"/>
      <c r="G1501"/>
      <c r="H1501"/>
      <c r="I1501"/>
      <c r="J1501"/>
      <c r="K1501"/>
      <c r="L1501"/>
      <c r="M1501"/>
      <c r="N1501"/>
      <c r="O1501"/>
      <c r="P1501"/>
      <c r="Q1501"/>
    </row>
    <row r="1502" spans="1:17" ht="15" x14ac:dyDescent="0.25">
      <c r="A1502"/>
      <c r="B1502"/>
      <c r="C1502"/>
      <c r="D1502"/>
      <c r="E1502"/>
      <c r="F1502"/>
      <c r="G1502"/>
      <c r="H1502"/>
      <c r="I1502"/>
      <c r="J1502"/>
      <c r="K1502"/>
      <c r="L1502"/>
      <c r="M1502"/>
      <c r="N1502"/>
      <c r="O1502"/>
      <c r="P1502"/>
      <c r="Q1502"/>
    </row>
    <row r="1503" spans="1:17" ht="15" x14ac:dyDescent="0.25">
      <c r="A1503"/>
      <c r="B1503"/>
      <c r="C1503"/>
      <c r="D1503"/>
      <c r="E1503"/>
      <c r="F1503"/>
      <c r="G1503"/>
      <c r="H1503"/>
      <c r="I1503"/>
      <c r="J1503"/>
      <c r="K1503"/>
      <c r="L1503"/>
      <c r="M1503"/>
      <c r="N1503"/>
      <c r="O1503"/>
      <c r="P1503"/>
      <c r="Q1503"/>
    </row>
    <row r="1504" spans="1:17" ht="15" x14ac:dyDescent="0.25">
      <c r="A1504"/>
      <c r="B1504"/>
      <c r="C1504"/>
      <c r="D1504"/>
      <c r="E1504"/>
      <c r="F1504"/>
      <c r="G1504"/>
      <c r="H1504"/>
      <c r="I1504"/>
      <c r="J1504"/>
      <c r="K1504"/>
      <c r="L1504"/>
      <c r="M1504"/>
      <c r="N1504"/>
      <c r="O1504"/>
      <c r="P1504"/>
      <c r="Q1504"/>
    </row>
    <row r="1505" spans="1:17" ht="15" x14ac:dyDescent="0.25">
      <c r="A1505"/>
      <c r="B1505"/>
      <c r="C1505"/>
      <c r="D1505"/>
      <c r="E1505"/>
      <c r="F1505"/>
      <c r="G1505"/>
      <c r="H1505"/>
      <c r="I1505"/>
      <c r="J1505"/>
      <c r="K1505"/>
      <c r="L1505"/>
      <c r="M1505"/>
      <c r="N1505"/>
      <c r="O1505"/>
      <c r="P1505"/>
      <c r="Q1505"/>
    </row>
    <row r="1506" spans="1:17" ht="15" x14ac:dyDescent="0.25">
      <c r="A1506"/>
      <c r="B1506"/>
      <c r="C1506"/>
      <c r="D1506"/>
      <c r="E1506"/>
      <c r="F1506"/>
      <c r="G1506"/>
      <c r="H1506"/>
      <c r="I1506"/>
      <c r="J1506"/>
      <c r="K1506"/>
      <c r="L1506"/>
      <c r="M1506"/>
      <c r="N1506"/>
      <c r="O1506"/>
      <c r="P1506"/>
      <c r="Q1506"/>
    </row>
    <row r="1507" spans="1:17" ht="15" x14ac:dyDescent="0.25">
      <c r="A1507"/>
      <c r="B1507"/>
      <c r="C1507"/>
      <c r="D1507"/>
      <c r="E1507"/>
      <c r="F1507"/>
      <c r="G1507"/>
      <c r="H1507"/>
      <c r="I1507"/>
      <c r="J1507"/>
      <c r="K1507"/>
      <c r="L1507"/>
      <c r="M1507"/>
      <c r="N1507"/>
      <c r="O1507"/>
      <c r="P1507"/>
      <c r="Q1507"/>
    </row>
    <row r="1508" spans="1:17" ht="15" x14ac:dyDescent="0.25">
      <c r="A1508"/>
      <c r="B1508"/>
      <c r="C1508"/>
      <c r="D1508"/>
      <c r="E1508"/>
      <c r="F1508"/>
      <c r="G1508"/>
      <c r="H1508"/>
      <c r="I1508"/>
      <c r="J1508"/>
      <c r="K1508"/>
      <c r="L1508"/>
      <c r="M1508"/>
      <c r="N1508"/>
      <c r="O1508"/>
      <c r="P1508"/>
      <c r="Q1508"/>
    </row>
    <row r="1509" spans="1:17" ht="15" x14ac:dyDescent="0.25">
      <c r="A1509"/>
      <c r="B1509"/>
      <c r="C1509"/>
      <c r="D1509"/>
      <c r="E1509"/>
      <c r="F1509"/>
      <c r="G1509"/>
      <c r="H1509"/>
      <c r="I1509"/>
      <c r="J1509"/>
      <c r="K1509"/>
      <c r="L1509"/>
      <c r="M1509"/>
      <c r="N1509"/>
      <c r="O1509"/>
      <c r="P1509"/>
      <c r="Q1509"/>
    </row>
    <row r="1510" spans="1:17" ht="15" x14ac:dyDescent="0.25">
      <c r="A1510"/>
      <c r="B1510"/>
      <c r="C1510"/>
      <c r="D1510"/>
      <c r="E1510"/>
      <c r="F1510"/>
      <c r="G1510"/>
      <c r="H1510"/>
      <c r="I1510"/>
      <c r="J1510"/>
      <c r="K1510"/>
      <c r="L1510"/>
      <c r="M1510"/>
      <c r="N1510"/>
      <c r="O1510"/>
      <c r="P1510"/>
      <c r="Q1510"/>
    </row>
    <row r="1511" spans="1:17" ht="15" x14ac:dyDescent="0.25">
      <c r="A1511"/>
      <c r="B1511"/>
      <c r="C1511"/>
      <c r="D1511"/>
      <c r="E1511"/>
      <c r="F1511"/>
      <c r="G1511"/>
      <c r="H1511"/>
      <c r="I1511"/>
      <c r="J1511"/>
      <c r="K1511"/>
      <c r="L1511"/>
      <c r="M1511"/>
      <c r="N1511"/>
      <c r="O1511"/>
      <c r="P1511"/>
      <c r="Q1511"/>
    </row>
    <row r="1512" spans="1:17" ht="15" x14ac:dyDescent="0.25">
      <c r="A1512"/>
      <c r="B1512"/>
      <c r="C1512"/>
      <c r="D1512"/>
      <c r="E1512"/>
      <c r="F1512"/>
      <c r="G1512"/>
      <c r="H1512"/>
      <c r="I1512"/>
      <c r="J1512"/>
      <c r="K1512"/>
      <c r="L1512"/>
      <c r="M1512"/>
      <c r="N1512"/>
      <c r="O1512"/>
      <c r="P1512"/>
      <c r="Q1512"/>
    </row>
    <row r="1513" spans="1:17" ht="15" x14ac:dyDescent="0.25">
      <c r="A1513"/>
      <c r="B1513"/>
      <c r="C1513"/>
      <c r="D1513"/>
      <c r="E1513"/>
      <c r="F1513"/>
      <c r="G1513"/>
      <c r="H1513"/>
      <c r="I1513"/>
      <c r="J1513"/>
      <c r="K1513"/>
      <c r="L1513"/>
      <c r="M1513"/>
      <c r="N1513"/>
      <c r="O1513"/>
      <c r="P1513"/>
      <c r="Q1513"/>
    </row>
    <row r="1514" spans="1:17" ht="15" x14ac:dyDescent="0.25">
      <c r="A1514"/>
      <c r="B1514"/>
      <c r="C1514"/>
      <c r="D1514"/>
      <c r="E1514"/>
      <c r="F1514"/>
      <c r="G1514"/>
      <c r="H1514"/>
      <c r="I1514"/>
      <c r="J1514"/>
      <c r="K1514"/>
      <c r="L1514"/>
      <c r="M1514"/>
      <c r="N1514"/>
      <c r="O1514"/>
      <c r="P1514"/>
      <c r="Q1514"/>
    </row>
    <row r="1515" spans="1:17" ht="15" x14ac:dyDescent="0.25">
      <c r="A1515"/>
      <c r="B1515"/>
      <c r="C1515"/>
      <c r="D1515"/>
      <c r="E1515"/>
      <c r="F1515"/>
      <c r="G1515"/>
      <c r="H1515"/>
      <c r="I1515"/>
      <c r="J1515"/>
      <c r="K1515"/>
      <c r="L1515"/>
      <c r="M1515"/>
      <c r="N1515"/>
      <c r="O1515"/>
      <c r="P1515"/>
      <c r="Q1515"/>
    </row>
    <row r="1516" spans="1:17" ht="15" x14ac:dyDescent="0.25">
      <c r="A1516"/>
      <c r="B1516"/>
      <c r="C1516"/>
      <c r="D1516"/>
      <c r="E1516"/>
      <c r="F1516"/>
      <c r="G1516"/>
      <c r="H1516"/>
      <c r="I1516"/>
      <c r="J1516"/>
      <c r="K1516"/>
      <c r="L1516"/>
      <c r="M1516"/>
      <c r="N1516"/>
      <c r="O1516"/>
      <c r="P1516"/>
      <c r="Q1516"/>
    </row>
    <row r="1517" spans="1:17" ht="15" x14ac:dyDescent="0.25">
      <c r="A1517"/>
      <c r="B1517"/>
      <c r="C1517"/>
      <c r="D1517"/>
      <c r="E1517"/>
      <c r="F1517"/>
      <c r="G1517"/>
      <c r="H1517"/>
      <c r="I1517"/>
      <c r="J1517"/>
      <c r="K1517"/>
      <c r="L1517"/>
      <c r="M1517"/>
      <c r="N1517"/>
      <c r="O1517"/>
      <c r="P1517"/>
      <c r="Q1517"/>
    </row>
    <row r="1518" spans="1:17" ht="15" x14ac:dyDescent="0.25">
      <c r="A1518"/>
      <c r="B1518"/>
      <c r="C1518"/>
      <c r="D1518"/>
      <c r="E1518"/>
      <c r="F1518"/>
      <c r="G1518"/>
      <c r="H1518"/>
      <c r="I1518"/>
      <c r="J1518"/>
      <c r="K1518"/>
      <c r="L1518"/>
      <c r="M1518"/>
      <c r="N1518"/>
      <c r="O1518"/>
      <c r="P1518"/>
      <c r="Q1518"/>
    </row>
    <row r="1519" spans="1:17" ht="15" x14ac:dyDescent="0.25">
      <c r="A1519"/>
      <c r="B1519"/>
      <c r="C1519"/>
      <c r="D1519"/>
      <c r="E1519"/>
      <c r="F1519"/>
      <c r="G1519"/>
      <c r="H1519"/>
      <c r="I1519"/>
      <c r="J1519"/>
      <c r="K1519"/>
      <c r="L1519"/>
      <c r="M1519"/>
      <c r="N1519"/>
      <c r="O1519"/>
      <c r="P1519"/>
      <c r="Q1519"/>
    </row>
    <row r="1520" spans="1:17" ht="15" x14ac:dyDescent="0.25">
      <c r="A1520"/>
      <c r="B1520"/>
      <c r="C1520"/>
      <c r="D1520"/>
      <c r="E1520"/>
      <c r="F1520"/>
      <c r="G1520"/>
      <c r="H1520"/>
      <c r="I1520"/>
      <c r="J1520"/>
      <c r="K1520"/>
      <c r="L1520"/>
      <c r="M1520"/>
      <c r="N1520"/>
      <c r="O1520"/>
      <c r="P1520"/>
      <c r="Q1520"/>
    </row>
    <row r="1521" spans="1:17" ht="15" x14ac:dyDescent="0.25">
      <c r="A1521"/>
      <c r="B1521"/>
      <c r="C1521"/>
      <c r="D1521"/>
      <c r="E1521"/>
      <c r="F1521"/>
      <c r="G1521"/>
      <c r="H1521"/>
      <c r="I1521"/>
      <c r="J1521"/>
      <c r="K1521"/>
      <c r="L1521"/>
      <c r="M1521"/>
      <c r="N1521"/>
      <c r="O1521"/>
      <c r="P1521"/>
      <c r="Q1521"/>
    </row>
    <row r="1522" spans="1:17" ht="15" x14ac:dyDescent="0.25">
      <c r="A1522"/>
      <c r="B1522"/>
      <c r="C1522"/>
      <c r="D1522"/>
      <c r="E1522"/>
      <c r="F1522"/>
      <c r="G1522"/>
      <c r="H1522"/>
      <c r="I1522"/>
      <c r="J1522"/>
      <c r="K1522"/>
      <c r="L1522"/>
      <c r="M1522"/>
      <c r="N1522"/>
      <c r="O1522"/>
      <c r="P1522"/>
      <c r="Q1522"/>
    </row>
    <row r="1523" spans="1:17" ht="15" x14ac:dyDescent="0.25">
      <c r="A1523"/>
      <c r="B1523"/>
      <c r="C1523"/>
      <c r="D1523"/>
      <c r="E1523"/>
      <c r="F1523"/>
      <c r="G1523"/>
      <c r="H1523"/>
      <c r="I1523"/>
      <c r="J1523"/>
      <c r="K1523"/>
      <c r="L1523"/>
      <c r="M1523"/>
      <c r="N1523"/>
      <c r="O1523"/>
      <c r="P1523"/>
      <c r="Q1523"/>
    </row>
    <row r="1524" spans="1:17" ht="15" x14ac:dyDescent="0.25">
      <c r="A1524"/>
      <c r="B1524"/>
      <c r="C1524"/>
      <c r="D1524"/>
      <c r="E1524"/>
      <c r="F1524"/>
      <c r="G1524"/>
      <c r="H1524"/>
      <c r="I1524"/>
      <c r="J1524"/>
      <c r="K1524"/>
      <c r="L1524"/>
      <c r="M1524"/>
      <c r="N1524"/>
      <c r="O1524"/>
      <c r="P1524"/>
      <c r="Q1524"/>
    </row>
    <row r="1525" spans="1:17" ht="15" x14ac:dyDescent="0.25">
      <c r="A1525"/>
      <c r="B1525"/>
      <c r="C1525"/>
      <c r="D1525"/>
      <c r="E1525"/>
      <c r="F1525"/>
      <c r="G1525"/>
      <c r="H1525"/>
      <c r="I1525"/>
      <c r="J1525"/>
      <c r="K1525"/>
      <c r="L1525"/>
      <c r="M1525"/>
      <c r="N1525"/>
      <c r="O1525"/>
      <c r="P1525"/>
      <c r="Q1525"/>
    </row>
    <row r="1526" spans="1:17" ht="15" x14ac:dyDescent="0.25">
      <c r="A1526"/>
      <c r="B1526"/>
      <c r="C1526"/>
      <c r="D1526"/>
      <c r="E1526"/>
      <c r="F1526"/>
      <c r="G1526"/>
      <c r="H1526"/>
      <c r="I1526"/>
      <c r="J1526"/>
      <c r="K1526"/>
      <c r="L1526"/>
      <c r="M1526"/>
      <c r="N1526"/>
      <c r="O1526"/>
      <c r="P1526"/>
      <c r="Q1526"/>
    </row>
    <row r="1527" spans="1:17" ht="15" x14ac:dyDescent="0.25">
      <c r="A1527"/>
      <c r="B1527"/>
      <c r="C1527"/>
      <c r="D1527"/>
      <c r="E1527"/>
      <c r="F1527"/>
      <c r="G1527"/>
      <c r="H1527"/>
      <c r="I1527"/>
      <c r="J1527"/>
      <c r="K1527"/>
      <c r="L1527"/>
      <c r="M1527"/>
      <c r="N1527"/>
      <c r="O1527"/>
      <c r="P1527"/>
      <c r="Q1527"/>
    </row>
    <row r="1528" spans="1:17" ht="15" x14ac:dyDescent="0.25">
      <c r="A1528"/>
      <c r="B1528"/>
      <c r="C1528"/>
      <c r="D1528"/>
      <c r="E1528"/>
      <c r="F1528"/>
      <c r="G1528"/>
      <c r="H1528"/>
      <c r="I1528"/>
      <c r="J1528"/>
      <c r="K1528"/>
      <c r="L1528"/>
      <c r="M1528"/>
      <c r="N1528"/>
      <c r="O1528"/>
      <c r="P1528"/>
      <c r="Q1528"/>
    </row>
    <row r="1529" spans="1:17" ht="15" x14ac:dyDescent="0.25">
      <c r="A1529"/>
      <c r="B1529"/>
      <c r="C1529"/>
      <c r="D1529"/>
      <c r="E1529"/>
      <c r="F1529"/>
      <c r="G1529"/>
      <c r="H1529"/>
      <c r="I1529"/>
      <c r="J1529"/>
      <c r="K1529"/>
      <c r="L1529"/>
      <c r="M1529"/>
      <c r="N1529"/>
      <c r="O1529"/>
      <c r="P1529"/>
      <c r="Q1529"/>
    </row>
    <row r="1530" spans="1:17" ht="15" x14ac:dyDescent="0.25">
      <c r="A1530"/>
      <c r="B1530"/>
      <c r="C1530"/>
      <c r="D1530"/>
      <c r="E1530"/>
      <c r="F1530"/>
      <c r="G1530"/>
      <c r="H1530"/>
      <c r="I1530"/>
      <c r="J1530"/>
      <c r="K1530"/>
      <c r="L1530"/>
      <c r="M1530"/>
      <c r="N1530"/>
      <c r="O1530"/>
      <c r="P1530"/>
      <c r="Q1530"/>
    </row>
    <row r="1531" spans="1:17" ht="15" x14ac:dyDescent="0.25">
      <c r="A1531"/>
      <c r="B1531"/>
      <c r="C1531"/>
      <c r="D1531"/>
      <c r="E1531"/>
      <c r="F1531"/>
      <c r="G1531"/>
      <c r="H1531"/>
      <c r="I1531"/>
      <c r="J1531"/>
      <c r="K1531"/>
      <c r="L1531"/>
      <c r="M1531"/>
      <c r="N1531"/>
      <c r="O1531"/>
      <c r="P1531"/>
      <c r="Q1531"/>
    </row>
    <row r="1532" spans="1:17" ht="15" x14ac:dyDescent="0.25">
      <c r="A1532"/>
      <c r="B1532"/>
      <c r="C1532"/>
      <c r="D1532"/>
      <c r="E1532"/>
      <c r="F1532"/>
      <c r="G1532"/>
      <c r="H1532"/>
      <c r="I1532"/>
      <c r="J1532"/>
      <c r="K1532"/>
      <c r="L1532"/>
      <c r="M1532"/>
      <c r="N1532"/>
      <c r="O1532"/>
      <c r="P1532"/>
      <c r="Q1532"/>
    </row>
    <row r="1533" spans="1:17" ht="15" x14ac:dyDescent="0.25">
      <c r="A1533"/>
      <c r="B1533"/>
      <c r="C1533"/>
      <c r="D1533"/>
      <c r="E1533"/>
      <c r="F1533"/>
      <c r="G1533"/>
      <c r="H1533"/>
      <c r="I1533"/>
      <c r="J1533"/>
      <c r="K1533"/>
      <c r="L1533"/>
      <c r="M1533"/>
      <c r="N1533"/>
      <c r="O1533"/>
      <c r="P1533"/>
      <c r="Q1533"/>
    </row>
    <row r="1534" spans="1:17" ht="15" x14ac:dyDescent="0.25">
      <c r="A1534"/>
      <c r="B1534"/>
      <c r="C1534"/>
      <c r="D1534"/>
      <c r="E1534"/>
      <c r="F1534"/>
      <c r="G1534"/>
      <c r="H1534"/>
      <c r="I1534"/>
      <c r="J1534"/>
      <c r="K1534"/>
      <c r="L1534"/>
      <c r="M1534"/>
      <c r="N1534"/>
      <c r="O1534"/>
      <c r="P1534"/>
      <c r="Q1534"/>
    </row>
    <row r="1535" spans="1:17" ht="15" x14ac:dyDescent="0.25">
      <c r="A1535"/>
      <c r="B1535"/>
      <c r="C1535"/>
      <c r="D1535"/>
      <c r="E1535"/>
      <c r="F1535"/>
      <c r="G1535"/>
      <c r="H1535"/>
      <c r="I1535"/>
      <c r="J1535"/>
      <c r="K1535"/>
      <c r="L1535"/>
      <c r="M1535"/>
      <c r="N1535"/>
      <c r="O1535"/>
      <c r="P1535"/>
      <c r="Q1535"/>
    </row>
    <row r="1536" spans="1:17" ht="15" x14ac:dyDescent="0.25">
      <c r="A1536"/>
      <c r="B1536"/>
      <c r="C1536"/>
      <c r="D1536"/>
      <c r="E1536"/>
      <c r="F1536"/>
      <c r="G1536"/>
      <c r="H1536"/>
      <c r="I1536"/>
      <c r="J1536"/>
      <c r="K1536"/>
      <c r="L1536"/>
      <c r="M1536"/>
      <c r="N1536"/>
      <c r="O1536"/>
      <c r="P1536"/>
      <c r="Q1536"/>
    </row>
    <row r="1537" spans="1:17" ht="15" x14ac:dyDescent="0.25">
      <c r="A1537"/>
      <c r="B1537"/>
      <c r="C1537"/>
      <c r="D1537"/>
      <c r="E1537"/>
      <c r="F1537"/>
      <c r="G1537"/>
      <c r="H1537"/>
      <c r="I1537"/>
      <c r="J1537"/>
      <c r="K1537"/>
      <c r="L1537"/>
      <c r="M1537"/>
      <c r="N1537"/>
      <c r="O1537"/>
      <c r="P1537"/>
      <c r="Q1537"/>
    </row>
    <row r="1538" spans="1:17" ht="15" x14ac:dyDescent="0.25">
      <c r="A1538"/>
      <c r="B1538"/>
      <c r="C1538"/>
      <c r="D1538"/>
      <c r="E1538"/>
      <c r="F1538"/>
      <c r="G1538"/>
      <c r="H1538"/>
      <c r="I1538"/>
      <c r="J1538"/>
      <c r="K1538"/>
      <c r="L1538"/>
      <c r="M1538"/>
      <c r="N1538"/>
      <c r="O1538"/>
      <c r="P1538"/>
      <c r="Q1538"/>
    </row>
    <row r="1539" spans="1:17" ht="15" x14ac:dyDescent="0.25">
      <c r="A1539"/>
      <c r="B1539"/>
      <c r="C1539"/>
      <c r="D1539"/>
      <c r="E1539"/>
      <c r="F1539"/>
      <c r="G1539"/>
      <c r="H1539"/>
      <c r="I1539"/>
      <c r="J1539"/>
      <c r="K1539"/>
      <c r="L1539"/>
      <c r="M1539"/>
      <c r="N1539"/>
      <c r="O1539"/>
      <c r="P1539"/>
      <c r="Q1539"/>
    </row>
    <row r="1540" spans="1:17" ht="15" x14ac:dyDescent="0.25">
      <c r="A1540"/>
      <c r="B1540"/>
      <c r="C1540"/>
      <c r="D1540"/>
      <c r="E1540"/>
      <c r="F1540"/>
      <c r="G1540"/>
      <c r="H1540"/>
      <c r="I1540"/>
      <c r="J1540"/>
      <c r="K1540"/>
      <c r="L1540"/>
      <c r="M1540"/>
      <c r="N1540"/>
      <c r="O1540"/>
      <c r="P1540"/>
      <c r="Q1540"/>
    </row>
    <row r="1541" spans="1:17" ht="15" x14ac:dyDescent="0.25">
      <c r="A1541"/>
      <c r="B1541"/>
      <c r="C1541"/>
      <c r="D1541"/>
      <c r="E1541"/>
      <c r="F1541"/>
      <c r="G1541"/>
      <c r="H1541"/>
      <c r="I1541"/>
      <c r="J1541"/>
      <c r="K1541"/>
      <c r="L1541"/>
      <c r="M1541"/>
      <c r="N1541"/>
      <c r="O1541"/>
      <c r="P1541"/>
      <c r="Q1541"/>
    </row>
    <row r="1542" spans="1:17" ht="15" x14ac:dyDescent="0.25">
      <c r="A1542"/>
      <c r="B1542"/>
      <c r="C1542"/>
      <c r="D1542"/>
      <c r="E1542"/>
      <c r="F1542"/>
      <c r="G1542"/>
      <c r="H1542"/>
      <c r="I1542"/>
      <c r="J1542"/>
      <c r="K1542"/>
      <c r="L1542"/>
      <c r="M1542"/>
      <c r="N1542"/>
      <c r="O1542"/>
      <c r="P1542"/>
      <c r="Q1542"/>
    </row>
    <row r="1543" spans="1:17" ht="15" x14ac:dyDescent="0.25">
      <c r="A1543"/>
      <c r="B1543"/>
      <c r="C1543"/>
      <c r="D1543"/>
      <c r="E1543"/>
      <c r="F1543"/>
      <c r="G1543"/>
      <c r="H1543"/>
      <c r="I1543"/>
      <c r="J1543"/>
      <c r="K1543"/>
      <c r="L1543"/>
      <c r="M1543"/>
      <c r="N1543"/>
      <c r="O1543"/>
      <c r="P1543"/>
      <c r="Q1543"/>
    </row>
    <row r="1544" spans="1:17" ht="15" x14ac:dyDescent="0.25">
      <c r="A1544"/>
      <c r="B1544"/>
      <c r="C1544"/>
      <c r="D1544"/>
      <c r="E1544"/>
      <c r="F1544"/>
      <c r="G1544"/>
      <c r="H1544"/>
      <c r="I1544"/>
      <c r="J1544"/>
      <c r="K1544"/>
      <c r="L1544"/>
      <c r="M1544"/>
      <c r="N1544"/>
      <c r="O1544"/>
      <c r="P1544"/>
      <c r="Q1544"/>
    </row>
    <row r="1545" spans="1:17" ht="15" x14ac:dyDescent="0.25">
      <c r="A1545"/>
      <c r="B1545"/>
      <c r="C1545"/>
      <c r="D1545"/>
      <c r="E1545"/>
      <c r="F1545"/>
      <c r="G1545"/>
      <c r="H1545"/>
      <c r="I1545"/>
      <c r="J1545"/>
      <c r="K1545"/>
      <c r="L1545"/>
      <c r="M1545"/>
      <c r="N1545"/>
      <c r="O1545"/>
      <c r="P1545"/>
      <c r="Q1545"/>
    </row>
    <row r="1546" spans="1:17" ht="15" x14ac:dyDescent="0.25">
      <c r="A1546"/>
      <c r="B1546"/>
      <c r="C1546"/>
      <c r="D1546"/>
      <c r="E1546"/>
      <c r="F1546"/>
      <c r="G1546"/>
      <c r="H1546"/>
      <c r="I1546"/>
      <c r="J1546"/>
      <c r="K1546"/>
      <c r="L1546"/>
      <c r="M1546"/>
      <c r="N1546"/>
      <c r="O1546"/>
      <c r="P1546"/>
      <c r="Q1546"/>
    </row>
    <row r="1547" spans="1:17" ht="15" x14ac:dyDescent="0.25">
      <c r="A1547"/>
      <c r="B1547"/>
      <c r="C1547"/>
      <c r="D1547"/>
      <c r="E1547"/>
      <c r="F1547"/>
      <c r="G1547"/>
      <c r="H1547"/>
      <c r="I1547"/>
      <c r="J1547"/>
      <c r="K1547"/>
      <c r="L1547"/>
      <c r="M1547"/>
      <c r="N1547"/>
      <c r="O1547"/>
      <c r="P1547"/>
      <c r="Q1547"/>
    </row>
    <row r="1548" spans="1:17" ht="15" x14ac:dyDescent="0.25">
      <c r="A1548"/>
      <c r="B1548"/>
      <c r="C1548"/>
      <c r="D1548"/>
      <c r="E1548"/>
      <c r="F1548"/>
      <c r="G1548"/>
      <c r="H1548"/>
      <c r="I1548"/>
      <c r="J1548"/>
      <c r="K1548"/>
      <c r="L1548"/>
      <c r="M1548"/>
      <c r="N1548"/>
      <c r="O1548"/>
      <c r="P1548"/>
      <c r="Q1548"/>
    </row>
    <row r="1549" spans="1:17" ht="15" x14ac:dyDescent="0.25">
      <c r="A1549"/>
      <c r="B1549"/>
      <c r="C1549"/>
      <c r="D1549"/>
      <c r="E1549"/>
      <c r="F1549"/>
      <c r="G1549"/>
      <c r="H1549"/>
      <c r="I1549"/>
      <c r="J1549"/>
      <c r="K1549"/>
      <c r="L1549"/>
      <c r="M1549"/>
      <c r="N1549"/>
      <c r="O1549"/>
      <c r="P1549"/>
      <c r="Q1549"/>
    </row>
    <row r="1550" spans="1:17" ht="15" x14ac:dyDescent="0.25">
      <c r="A1550"/>
      <c r="B1550"/>
      <c r="C1550"/>
      <c r="D1550"/>
      <c r="E1550"/>
      <c r="F1550"/>
      <c r="G1550"/>
      <c r="H1550"/>
      <c r="I1550"/>
      <c r="J1550"/>
      <c r="K1550"/>
      <c r="L1550"/>
      <c r="M1550"/>
      <c r="N1550"/>
      <c r="O1550"/>
      <c r="P1550"/>
      <c r="Q1550"/>
    </row>
    <row r="1551" spans="1:17" ht="15" x14ac:dyDescent="0.25">
      <c r="A1551"/>
      <c r="B1551"/>
      <c r="C1551"/>
      <c r="D1551"/>
      <c r="E1551"/>
      <c r="F1551"/>
      <c r="G1551"/>
      <c r="H1551"/>
      <c r="I1551"/>
      <c r="J1551"/>
      <c r="K1551"/>
      <c r="L1551"/>
      <c r="M1551"/>
      <c r="N1551"/>
      <c r="O1551"/>
      <c r="P1551"/>
      <c r="Q1551"/>
    </row>
    <row r="1552" spans="1:17" ht="15" x14ac:dyDescent="0.25">
      <c r="A1552"/>
      <c r="B1552"/>
      <c r="C1552"/>
      <c r="D1552"/>
      <c r="E1552"/>
      <c r="F1552"/>
      <c r="G1552"/>
      <c r="H1552"/>
      <c r="I1552"/>
      <c r="J1552"/>
      <c r="K1552"/>
      <c r="L1552"/>
      <c r="M1552"/>
      <c r="N1552"/>
      <c r="O1552"/>
      <c r="P1552"/>
      <c r="Q1552"/>
    </row>
    <row r="1553" spans="1:17" ht="15" x14ac:dyDescent="0.25">
      <c r="A1553"/>
      <c r="B1553"/>
      <c r="C1553"/>
      <c r="D1553"/>
      <c r="E1553"/>
      <c r="F1553"/>
      <c r="G1553"/>
      <c r="H1553"/>
      <c r="I1553"/>
      <c r="J1553"/>
      <c r="K1553"/>
      <c r="L1553"/>
      <c r="M1553"/>
      <c r="N1553"/>
      <c r="O1553"/>
      <c r="P1553"/>
      <c r="Q1553"/>
    </row>
    <row r="1554" spans="1:17" ht="15" x14ac:dyDescent="0.25">
      <c r="A1554"/>
      <c r="B1554"/>
      <c r="C1554"/>
      <c r="D1554"/>
      <c r="E1554"/>
      <c r="F1554"/>
      <c r="G1554"/>
      <c r="H1554"/>
      <c r="I1554"/>
      <c r="J1554"/>
      <c r="K1554"/>
      <c r="L1554"/>
      <c r="M1554"/>
      <c r="N1554"/>
      <c r="O1554"/>
      <c r="P1554"/>
      <c r="Q1554"/>
    </row>
    <row r="1555" spans="1:17" ht="15" x14ac:dyDescent="0.25">
      <c r="A1555"/>
      <c r="B1555"/>
      <c r="C1555"/>
      <c r="D1555"/>
      <c r="E1555"/>
      <c r="F1555"/>
      <c r="G1555"/>
      <c r="H1555"/>
      <c r="I1555"/>
      <c r="J1555"/>
      <c r="K1555"/>
      <c r="L1555"/>
      <c r="M1555"/>
      <c r="N1555"/>
      <c r="O1555"/>
      <c r="P1555"/>
      <c r="Q1555"/>
    </row>
    <row r="1556" spans="1:17" ht="15" x14ac:dyDescent="0.25">
      <c r="A1556"/>
      <c r="B1556"/>
      <c r="C1556"/>
      <c r="D1556"/>
      <c r="E1556"/>
      <c r="F1556"/>
      <c r="G1556"/>
      <c r="H1556"/>
      <c r="I1556"/>
      <c r="J1556"/>
      <c r="K1556"/>
      <c r="L1556"/>
      <c r="M1556"/>
      <c r="N1556"/>
      <c r="O1556"/>
      <c r="P1556"/>
      <c r="Q1556"/>
    </row>
    <row r="1557" spans="1:17" ht="15" x14ac:dyDescent="0.25">
      <c r="A1557"/>
      <c r="B1557"/>
      <c r="C1557"/>
      <c r="D1557"/>
      <c r="E1557"/>
      <c r="F1557"/>
      <c r="G1557"/>
      <c r="H1557"/>
      <c r="I1557"/>
      <c r="J1557"/>
      <c r="K1557"/>
      <c r="L1557"/>
      <c r="M1557"/>
      <c r="N1557"/>
      <c r="O1557"/>
      <c r="P1557"/>
      <c r="Q1557"/>
    </row>
    <row r="1558" spans="1:17" ht="15" x14ac:dyDescent="0.25">
      <c r="A1558"/>
      <c r="B1558"/>
      <c r="C1558"/>
      <c r="D1558"/>
      <c r="E1558"/>
      <c r="F1558"/>
      <c r="G1558"/>
      <c r="H1558"/>
      <c r="I1558"/>
      <c r="J1558"/>
      <c r="K1558"/>
      <c r="L1558"/>
      <c r="M1558"/>
      <c r="N1558"/>
      <c r="O1558"/>
      <c r="P1558"/>
      <c r="Q1558"/>
    </row>
    <row r="1559" spans="1:17" ht="15" x14ac:dyDescent="0.25">
      <c r="A1559"/>
      <c r="B1559"/>
      <c r="C1559"/>
      <c r="D1559"/>
      <c r="E1559"/>
      <c r="F1559"/>
      <c r="G1559"/>
      <c r="H1559"/>
      <c r="I1559"/>
      <c r="J1559"/>
      <c r="K1559"/>
      <c r="L1559"/>
      <c r="M1559"/>
      <c r="N1559"/>
      <c r="O1559"/>
      <c r="P1559"/>
      <c r="Q1559"/>
    </row>
    <row r="1560" spans="1:17" ht="15" x14ac:dyDescent="0.25">
      <c r="A1560"/>
      <c r="B1560"/>
      <c r="C1560"/>
      <c r="D1560"/>
      <c r="E1560"/>
      <c r="F1560"/>
      <c r="G1560"/>
      <c r="H1560"/>
      <c r="I1560"/>
      <c r="J1560"/>
      <c r="K1560"/>
      <c r="L1560"/>
      <c r="M1560"/>
      <c r="N1560"/>
      <c r="O1560"/>
      <c r="P1560"/>
      <c r="Q1560"/>
    </row>
    <row r="1561" spans="1:17" ht="15" x14ac:dyDescent="0.25">
      <c r="A1561"/>
      <c r="B1561"/>
      <c r="C1561"/>
      <c r="D1561"/>
      <c r="E1561"/>
      <c r="F1561"/>
      <c r="G1561"/>
      <c r="H1561"/>
      <c r="I1561"/>
      <c r="J1561"/>
      <c r="K1561"/>
      <c r="L1561"/>
      <c r="M1561"/>
      <c r="N1561"/>
      <c r="O1561"/>
      <c r="P1561"/>
      <c r="Q1561"/>
    </row>
    <row r="1562" spans="1:17" ht="15" x14ac:dyDescent="0.25">
      <c r="A1562"/>
      <c r="B1562"/>
      <c r="C1562"/>
      <c r="D1562"/>
      <c r="E1562"/>
      <c r="F1562"/>
      <c r="G1562"/>
      <c r="H1562"/>
      <c r="I1562"/>
      <c r="J1562"/>
      <c r="K1562"/>
      <c r="L1562"/>
      <c r="M1562"/>
      <c r="N1562"/>
      <c r="O1562"/>
      <c r="P1562"/>
      <c r="Q1562"/>
    </row>
    <row r="1563" spans="1:17" ht="15" x14ac:dyDescent="0.25">
      <c r="A1563"/>
      <c r="B1563"/>
      <c r="C1563"/>
      <c r="D1563"/>
      <c r="E1563"/>
      <c r="F1563"/>
      <c r="G1563"/>
      <c r="H1563"/>
      <c r="I1563"/>
      <c r="J1563"/>
      <c r="K1563"/>
      <c r="L1563"/>
      <c r="M1563"/>
      <c r="N1563"/>
      <c r="O1563"/>
      <c r="P1563"/>
      <c r="Q1563"/>
    </row>
    <row r="1564" spans="1:17" ht="15" x14ac:dyDescent="0.25">
      <c r="A1564"/>
      <c r="B1564"/>
      <c r="C1564"/>
      <c r="D1564"/>
      <c r="E1564"/>
      <c r="F1564"/>
      <c r="G1564"/>
      <c r="H1564"/>
      <c r="I1564"/>
      <c r="J1564"/>
      <c r="K1564"/>
      <c r="L1564"/>
      <c r="M1564"/>
      <c r="N1564"/>
      <c r="O1564"/>
      <c r="P1564"/>
      <c r="Q1564"/>
    </row>
    <row r="1565" spans="1:17" ht="15" x14ac:dyDescent="0.25">
      <c r="A1565"/>
      <c r="B1565"/>
      <c r="C1565"/>
      <c r="D1565"/>
      <c r="E1565"/>
      <c r="F1565"/>
      <c r="G1565"/>
      <c r="H1565"/>
      <c r="I1565"/>
      <c r="J1565"/>
      <c r="K1565"/>
      <c r="L1565"/>
      <c r="M1565"/>
      <c r="N1565"/>
      <c r="O1565"/>
      <c r="P1565"/>
      <c r="Q1565"/>
    </row>
    <row r="1566" spans="1:17" ht="15" x14ac:dyDescent="0.25">
      <c r="A1566"/>
      <c r="B1566"/>
      <c r="C1566"/>
      <c r="D1566"/>
      <c r="E1566"/>
      <c r="F1566"/>
      <c r="G1566"/>
      <c r="H1566"/>
      <c r="I1566"/>
      <c r="J1566"/>
      <c r="K1566"/>
      <c r="L1566"/>
      <c r="M1566"/>
      <c r="N1566"/>
      <c r="O1566"/>
      <c r="P1566"/>
      <c r="Q1566"/>
    </row>
    <row r="1567" spans="1:17" ht="15" x14ac:dyDescent="0.25">
      <c r="A1567"/>
      <c r="B1567"/>
      <c r="C1567"/>
      <c r="D1567"/>
      <c r="E1567"/>
      <c r="F1567"/>
      <c r="G1567"/>
      <c r="H1567"/>
      <c r="I1567"/>
      <c r="J1567"/>
      <c r="K1567"/>
      <c r="L1567"/>
      <c r="M1567"/>
      <c r="N1567"/>
      <c r="O1567"/>
      <c r="P1567"/>
      <c r="Q1567"/>
    </row>
    <row r="1568" spans="1:17" ht="15" x14ac:dyDescent="0.25">
      <c r="A1568"/>
      <c r="B1568"/>
      <c r="C1568"/>
      <c r="D1568"/>
      <c r="E1568"/>
      <c r="F1568"/>
      <c r="G1568"/>
      <c r="H1568"/>
      <c r="I1568"/>
      <c r="J1568"/>
      <c r="K1568"/>
      <c r="L1568"/>
      <c r="M1568"/>
      <c r="N1568"/>
      <c r="O1568"/>
      <c r="P1568"/>
      <c r="Q1568"/>
    </row>
    <row r="1569" spans="1:17" ht="15" x14ac:dyDescent="0.25">
      <c r="A1569"/>
      <c r="B1569"/>
      <c r="C1569"/>
      <c r="D1569"/>
      <c r="E1569"/>
      <c r="F1569"/>
      <c r="G1569"/>
      <c r="H1569"/>
      <c r="I1569"/>
      <c r="J1569"/>
      <c r="K1569"/>
      <c r="L1569"/>
      <c r="M1569"/>
      <c r="N1569"/>
      <c r="O1569"/>
      <c r="P1569"/>
      <c r="Q1569"/>
    </row>
    <row r="1570" spans="1:17" ht="15" x14ac:dyDescent="0.25">
      <c r="A1570"/>
      <c r="B1570"/>
      <c r="C1570"/>
      <c r="D1570"/>
      <c r="E1570"/>
      <c r="F1570"/>
      <c r="G1570"/>
      <c r="H1570"/>
      <c r="I1570"/>
      <c r="J1570"/>
      <c r="K1570"/>
      <c r="L1570"/>
      <c r="M1570"/>
      <c r="N1570"/>
      <c r="O1570"/>
      <c r="P1570"/>
      <c r="Q1570"/>
    </row>
    <row r="1571" spans="1:17" ht="15" x14ac:dyDescent="0.25">
      <c r="A1571"/>
      <c r="B1571"/>
      <c r="C1571"/>
      <c r="D1571"/>
      <c r="E1571"/>
      <c r="F1571"/>
      <c r="G1571"/>
      <c r="H1571"/>
      <c r="I1571"/>
      <c r="J1571"/>
      <c r="K1571"/>
      <c r="L1571"/>
      <c r="M1571"/>
      <c r="N1571"/>
      <c r="O1571"/>
      <c r="P1571"/>
      <c r="Q1571"/>
    </row>
    <row r="1572" spans="1:17" ht="15" x14ac:dyDescent="0.25">
      <c r="A1572"/>
      <c r="B1572"/>
      <c r="C1572"/>
      <c r="D1572"/>
      <c r="E1572"/>
      <c r="F1572"/>
      <c r="G1572"/>
      <c r="H1572"/>
      <c r="I1572"/>
      <c r="J1572"/>
      <c r="K1572"/>
      <c r="L1572"/>
      <c r="M1572"/>
      <c r="N1572"/>
      <c r="O1572"/>
      <c r="P1572"/>
      <c r="Q1572"/>
    </row>
    <row r="1573" spans="1:17" ht="15" x14ac:dyDescent="0.25">
      <c r="A1573"/>
      <c r="B1573"/>
      <c r="C1573"/>
      <c r="D1573"/>
      <c r="E1573"/>
      <c r="F1573"/>
      <c r="G1573"/>
      <c r="H1573"/>
      <c r="I1573"/>
      <c r="J1573"/>
      <c r="K1573"/>
      <c r="L1573"/>
      <c r="M1573"/>
      <c r="N1573"/>
      <c r="O1573"/>
      <c r="P1573"/>
      <c r="Q1573"/>
    </row>
    <row r="1574" spans="1:17" ht="15" x14ac:dyDescent="0.25">
      <c r="A1574"/>
      <c r="B1574"/>
      <c r="C1574"/>
      <c r="D1574"/>
      <c r="E1574"/>
      <c r="F1574"/>
      <c r="G1574"/>
      <c r="H1574"/>
      <c r="I1574"/>
      <c r="J1574"/>
      <c r="K1574"/>
      <c r="L1574"/>
      <c r="M1574"/>
      <c r="N1574"/>
      <c r="O1574"/>
      <c r="P1574"/>
      <c r="Q1574"/>
    </row>
    <row r="1575" spans="1:17" ht="15" x14ac:dyDescent="0.25">
      <c r="A1575"/>
      <c r="B1575"/>
      <c r="C1575"/>
      <c r="D1575"/>
      <c r="E1575"/>
      <c r="F1575"/>
      <c r="G1575"/>
      <c r="H1575"/>
      <c r="I1575"/>
      <c r="J1575"/>
      <c r="K1575"/>
      <c r="L1575"/>
      <c r="M1575"/>
      <c r="N1575"/>
      <c r="O1575"/>
      <c r="P1575"/>
      <c r="Q1575"/>
    </row>
    <row r="1576" spans="1:17" ht="15" x14ac:dyDescent="0.25">
      <c r="A1576"/>
      <c r="B1576"/>
      <c r="C1576"/>
      <c r="D1576"/>
      <c r="E1576"/>
      <c r="F1576"/>
      <c r="G1576"/>
      <c r="H1576"/>
      <c r="I1576"/>
      <c r="J1576"/>
      <c r="K1576"/>
      <c r="L1576"/>
      <c r="M1576"/>
      <c r="N1576"/>
      <c r="O1576"/>
      <c r="P1576"/>
      <c r="Q1576"/>
    </row>
    <row r="1577" spans="1:17" ht="15" x14ac:dyDescent="0.25">
      <c r="A1577"/>
      <c r="B1577"/>
      <c r="C1577"/>
      <c r="D1577"/>
      <c r="E1577"/>
      <c r="F1577"/>
      <c r="G1577"/>
      <c r="H1577"/>
      <c r="I1577"/>
      <c r="J1577"/>
      <c r="K1577"/>
      <c r="L1577"/>
      <c r="M1577"/>
      <c r="N1577"/>
      <c r="O1577"/>
      <c r="P1577"/>
      <c r="Q1577"/>
    </row>
    <row r="1578" spans="1:17" ht="15" x14ac:dyDescent="0.25">
      <c r="A1578"/>
      <c r="B1578"/>
      <c r="C1578"/>
      <c r="D1578"/>
      <c r="E1578"/>
      <c r="F1578"/>
      <c r="G1578"/>
      <c r="H1578"/>
      <c r="I1578"/>
      <c r="J1578"/>
      <c r="K1578"/>
      <c r="L1578"/>
      <c r="M1578"/>
      <c r="N1578"/>
      <c r="O1578"/>
      <c r="P1578"/>
      <c r="Q1578"/>
    </row>
    <row r="1579" spans="1:17" ht="15" x14ac:dyDescent="0.25">
      <c r="A1579"/>
      <c r="B1579"/>
      <c r="C1579"/>
      <c r="D1579"/>
      <c r="E1579"/>
      <c r="F1579"/>
      <c r="G1579"/>
      <c r="H1579"/>
      <c r="I1579"/>
      <c r="J1579"/>
      <c r="K1579"/>
      <c r="L1579"/>
      <c r="M1579"/>
      <c r="N1579"/>
      <c r="O1579"/>
      <c r="P1579"/>
      <c r="Q1579"/>
    </row>
    <row r="1580" spans="1:17" ht="15" x14ac:dyDescent="0.25">
      <c r="A1580"/>
      <c r="B1580"/>
      <c r="C1580"/>
      <c r="D1580"/>
      <c r="E1580"/>
      <c r="F1580"/>
      <c r="G1580"/>
      <c r="H1580"/>
      <c r="I1580"/>
      <c r="J1580"/>
      <c r="K1580"/>
      <c r="L1580"/>
      <c r="M1580"/>
      <c r="N1580"/>
      <c r="O1580"/>
      <c r="P1580"/>
      <c r="Q1580"/>
    </row>
    <row r="1581" spans="1:17" ht="15" x14ac:dyDescent="0.25">
      <c r="A1581"/>
      <c r="B1581"/>
      <c r="C1581"/>
      <c r="D1581"/>
      <c r="E1581"/>
      <c r="F1581"/>
      <c r="G1581"/>
      <c r="H1581"/>
      <c r="I1581"/>
      <c r="J1581"/>
      <c r="K1581"/>
      <c r="L1581"/>
      <c r="M1581"/>
      <c r="N1581"/>
      <c r="O1581"/>
      <c r="P1581"/>
      <c r="Q1581"/>
    </row>
    <row r="1582" spans="1:17" ht="15" x14ac:dyDescent="0.25">
      <c r="A1582"/>
      <c r="B1582"/>
      <c r="C1582"/>
      <c r="D1582"/>
      <c r="E1582"/>
      <c r="F1582"/>
      <c r="G1582"/>
      <c r="H1582"/>
      <c r="I1582"/>
      <c r="J1582"/>
      <c r="K1582"/>
      <c r="L1582"/>
      <c r="M1582"/>
      <c r="N1582"/>
      <c r="O1582"/>
      <c r="P1582"/>
      <c r="Q1582"/>
    </row>
    <row r="1583" spans="1:17" ht="15" x14ac:dyDescent="0.25">
      <c r="A1583"/>
      <c r="B1583"/>
      <c r="C1583"/>
      <c r="D1583"/>
      <c r="E1583"/>
      <c r="F1583"/>
      <c r="G1583"/>
      <c r="H1583"/>
      <c r="I1583"/>
      <c r="J1583"/>
      <c r="K1583"/>
      <c r="L1583"/>
      <c r="M1583"/>
      <c r="N1583"/>
      <c r="O1583"/>
      <c r="P1583"/>
      <c r="Q1583"/>
    </row>
    <row r="1584" spans="1:17" ht="15" x14ac:dyDescent="0.25">
      <c r="A1584"/>
      <c r="B1584"/>
      <c r="C1584"/>
      <c r="D1584"/>
      <c r="E1584"/>
      <c r="F1584"/>
      <c r="G1584"/>
      <c r="H1584"/>
      <c r="I1584"/>
      <c r="J1584"/>
      <c r="K1584"/>
      <c r="L1584"/>
      <c r="M1584"/>
      <c r="N1584"/>
      <c r="O1584"/>
      <c r="P1584"/>
      <c r="Q1584"/>
    </row>
    <row r="1585" spans="1:17" ht="15" x14ac:dyDescent="0.25">
      <c r="A1585"/>
      <c r="B1585"/>
      <c r="C1585"/>
      <c r="D1585"/>
      <c r="E1585"/>
      <c r="F1585"/>
      <c r="G1585"/>
      <c r="H1585"/>
      <c r="I1585"/>
      <c r="J1585"/>
      <c r="K1585"/>
      <c r="L1585"/>
      <c r="M1585"/>
      <c r="N1585"/>
      <c r="O1585"/>
      <c r="P1585"/>
      <c r="Q1585"/>
    </row>
    <row r="1586" spans="1:17" ht="15" x14ac:dyDescent="0.25">
      <c r="A1586"/>
      <c r="B1586"/>
      <c r="C1586"/>
      <c r="D1586"/>
      <c r="E1586"/>
      <c r="F1586"/>
      <c r="G1586"/>
      <c r="H1586"/>
      <c r="I1586"/>
      <c r="J1586"/>
      <c r="K1586"/>
      <c r="L1586"/>
      <c r="M1586"/>
      <c r="N1586"/>
      <c r="O1586"/>
      <c r="P1586"/>
      <c r="Q1586"/>
    </row>
    <row r="1587" spans="1:17" ht="15" x14ac:dyDescent="0.25">
      <c r="A1587"/>
      <c r="B1587"/>
      <c r="C1587"/>
      <c r="D1587"/>
      <c r="E1587"/>
      <c r="F1587"/>
      <c r="G1587"/>
      <c r="H1587"/>
      <c r="I1587"/>
      <c r="J1587"/>
      <c r="K1587"/>
      <c r="L1587"/>
      <c r="M1587"/>
      <c r="N1587"/>
      <c r="O1587"/>
      <c r="P1587"/>
      <c r="Q1587"/>
    </row>
    <row r="1588" spans="1:17" ht="15" x14ac:dyDescent="0.25">
      <c r="A1588"/>
      <c r="B1588"/>
      <c r="C1588"/>
      <c r="D1588"/>
      <c r="E1588"/>
      <c r="F1588"/>
      <c r="G1588"/>
      <c r="H1588"/>
      <c r="I1588"/>
      <c r="J1588"/>
      <c r="K1588"/>
      <c r="L1588"/>
      <c r="M1588"/>
      <c r="N1588"/>
      <c r="O1588"/>
      <c r="P1588"/>
      <c r="Q1588"/>
    </row>
    <row r="1589" spans="1:17" ht="15" x14ac:dyDescent="0.25">
      <c r="A1589"/>
      <c r="B1589"/>
      <c r="C1589"/>
      <c r="D1589"/>
      <c r="E1589"/>
      <c r="F1589"/>
      <c r="G1589"/>
      <c r="H1589"/>
      <c r="I1589"/>
      <c r="J1589"/>
      <c r="K1589"/>
      <c r="L1589"/>
      <c r="M1589"/>
      <c r="N1589"/>
      <c r="O1589"/>
      <c r="P1589"/>
      <c r="Q1589"/>
    </row>
    <row r="1590" spans="1:17" ht="15" x14ac:dyDescent="0.25">
      <c r="A1590"/>
      <c r="B1590"/>
      <c r="C1590"/>
      <c r="D1590"/>
      <c r="E1590"/>
      <c r="F1590"/>
      <c r="G1590"/>
      <c r="H1590"/>
      <c r="I1590"/>
      <c r="J1590"/>
      <c r="K1590"/>
      <c r="L1590"/>
      <c r="M1590"/>
      <c r="N1590"/>
      <c r="O1590"/>
      <c r="P1590"/>
      <c r="Q1590"/>
    </row>
    <row r="1591" spans="1:17" ht="15" x14ac:dyDescent="0.25">
      <c r="A1591"/>
      <c r="B1591"/>
      <c r="C1591"/>
      <c r="D1591"/>
      <c r="E1591"/>
      <c r="F1591"/>
      <c r="G1591"/>
      <c r="H1591"/>
      <c r="I1591"/>
      <c r="J1591"/>
      <c r="K1591"/>
      <c r="L1591"/>
      <c r="M1591"/>
      <c r="N1591"/>
      <c r="O1591"/>
      <c r="P1591"/>
      <c r="Q1591"/>
    </row>
    <row r="1592" spans="1:17" ht="15" x14ac:dyDescent="0.25">
      <c r="A1592"/>
      <c r="B1592"/>
      <c r="C1592"/>
      <c r="D1592"/>
      <c r="E1592"/>
      <c r="F1592"/>
      <c r="G1592"/>
      <c r="H1592"/>
      <c r="I1592"/>
      <c r="J1592"/>
      <c r="K1592"/>
      <c r="L1592"/>
      <c r="M1592"/>
      <c r="N1592"/>
      <c r="O1592"/>
      <c r="P1592"/>
      <c r="Q1592"/>
    </row>
    <row r="1593" spans="1:17" ht="15" x14ac:dyDescent="0.25">
      <c r="A1593"/>
      <c r="B1593"/>
      <c r="C1593"/>
      <c r="D1593"/>
      <c r="E1593"/>
      <c r="F1593"/>
      <c r="G1593"/>
      <c r="H1593"/>
      <c r="I1593"/>
      <c r="J1593"/>
      <c r="K1593"/>
      <c r="L1593"/>
      <c r="M1593"/>
      <c r="N1593"/>
      <c r="O1593"/>
      <c r="P1593"/>
      <c r="Q1593"/>
    </row>
    <row r="1594" spans="1:17" ht="15" x14ac:dyDescent="0.25">
      <c r="A1594"/>
      <c r="B1594"/>
      <c r="C1594"/>
      <c r="D1594"/>
      <c r="E1594"/>
      <c r="F1594"/>
      <c r="G1594"/>
      <c r="H1594"/>
      <c r="I1594"/>
      <c r="J1594"/>
      <c r="K1594"/>
      <c r="L1594"/>
      <c r="M1594"/>
      <c r="N1594"/>
      <c r="O1594"/>
      <c r="P1594"/>
      <c r="Q1594"/>
    </row>
    <row r="1595" spans="1:17" ht="15" x14ac:dyDescent="0.25">
      <c r="A1595"/>
      <c r="B1595"/>
      <c r="C1595"/>
      <c r="D1595"/>
      <c r="E1595"/>
      <c r="F1595"/>
      <c r="G1595"/>
      <c r="H1595"/>
      <c r="I1595"/>
      <c r="J1595"/>
      <c r="K1595"/>
      <c r="L1595"/>
      <c r="M1595"/>
      <c r="N1595"/>
      <c r="O1595"/>
      <c r="P1595"/>
      <c r="Q1595"/>
    </row>
    <row r="1596" spans="1:17" ht="15" x14ac:dyDescent="0.25">
      <c r="A1596"/>
      <c r="B1596"/>
      <c r="C1596"/>
      <c r="D1596"/>
      <c r="E1596"/>
      <c r="F1596"/>
      <c r="G1596"/>
      <c r="H1596"/>
      <c r="I1596"/>
      <c r="J1596"/>
      <c r="K1596"/>
      <c r="L1596"/>
      <c r="M1596"/>
      <c r="N1596"/>
      <c r="O1596"/>
      <c r="P1596"/>
      <c r="Q1596"/>
    </row>
    <row r="1597" spans="1:17" ht="15" x14ac:dyDescent="0.25">
      <c r="A1597"/>
      <c r="B1597"/>
      <c r="C1597"/>
      <c r="D1597"/>
      <c r="E1597"/>
      <c r="F1597"/>
      <c r="G1597"/>
      <c r="H1597"/>
      <c r="I1597"/>
      <c r="J1597"/>
      <c r="K1597"/>
      <c r="L1597"/>
      <c r="M1597"/>
      <c r="N1597"/>
      <c r="O1597"/>
      <c r="P1597"/>
      <c r="Q1597"/>
    </row>
    <row r="1598" spans="1:17" ht="15" x14ac:dyDescent="0.25">
      <c r="A1598"/>
      <c r="B1598"/>
      <c r="C1598"/>
      <c r="D1598"/>
      <c r="E1598"/>
      <c r="F1598"/>
      <c r="G1598"/>
      <c r="H1598"/>
      <c r="I1598"/>
      <c r="J1598"/>
      <c r="K1598"/>
      <c r="L1598"/>
      <c r="M1598"/>
      <c r="N1598"/>
      <c r="O1598"/>
      <c r="P1598"/>
      <c r="Q1598"/>
    </row>
    <row r="1599" spans="1:17" ht="15" x14ac:dyDescent="0.25">
      <c r="A1599"/>
      <c r="B1599"/>
      <c r="C1599"/>
      <c r="D1599"/>
      <c r="E1599"/>
      <c r="F1599"/>
      <c r="G1599"/>
      <c r="H1599"/>
      <c r="I1599"/>
      <c r="J1599"/>
      <c r="K1599"/>
      <c r="L1599"/>
      <c r="M1599"/>
      <c r="N1599"/>
      <c r="O1599"/>
      <c r="P1599"/>
      <c r="Q1599"/>
    </row>
    <row r="1600" spans="1:17" ht="15" x14ac:dyDescent="0.25">
      <c r="A1600"/>
      <c r="B1600"/>
      <c r="C1600"/>
      <c r="D1600"/>
      <c r="E1600"/>
      <c r="F1600"/>
      <c r="G1600"/>
      <c r="H1600"/>
      <c r="I1600"/>
      <c r="J1600"/>
      <c r="K1600"/>
      <c r="L1600"/>
      <c r="M1600"/>
      <c r="N1600"/>
      <c r="O1600"/>
      <c r="P1600"/>
      <c r="Q1600"/>
    </row>
    <row r="1601" spans="1:17" ht="15" x14ac:dyDescent="0.25">
      <c r="A1601"/>
      <c r="B1601"/>
      <c r="C1601"/>
      <c r="D1601"/>
      <c r="E1601"/>
      <c r="F1601"/>
      <c r="G1601"/>
      <c r="H1601"/>
      <c r="I1601"/>
      <c r="J1601"/>
      <c r="K1601"/>
      <c r="L1601"/>
      <c r="M1601"/>
      <c r="N1601"/>
      <c r="O1601"/>
      <c r="P1601"/>
      <c r="Q1601"/>
    </row>
    <row r="1602" spans="1:17" ht="15" x14ac:dyDescent="0.25">
      <c r="A1602"/>
      <c r="B1602"/>
      <c r="C1602"/>
      <c r="D1602"/>
      <c r="E1602"/>
      <c r="F1602"/>
      <c r="G1602"/>
      <c r="H1602"/>
      <c r="I1602"/>
      <c r="J1602"/>
      <c r="K1602"/>
      <c r="L1602"/>
      <c r="M1602"/>
      <c r="N1602"/>
      <c r="O1602"/>
      <c r="P1602"/>
      <c r="Q1602"/>
    </row>
    <row r="1603" spans="1:17" ht="15" x14ac:dyDescent="0.25">
      <c r="A1603"/>
      <c r="B1603"/>
      <c r="C1603"/>
      <c r="D1603"/>
      <c r="E1603"/>
      <c r="F1603"/>
      <c r="G1603"/>
      <c r="H1603"/>
      <c r="I1603"/>
      <c r="J1603"/>
      <c r="K1603"/>
      <c r="L1603"/>
      <c r="M1603"/>
      <c r="N1603"/>
      <c r="O1603"/>
      <c r="P1603"/>
      <c r="Q1603"/>
    </row>
    <row r="1604" spans="1:17" ht="15" x14ac:dyDescent="0.25">
      <c r="A1604"/>
      <c r="B1604"/>
      <c r="C1604"/>
      <c r="D1604"/>
      <c r="E1604"/>
      <c r="F1604"/>
      <c r="G1604"/>
      <c r="H1604"/>
      <c r="I1604"/>
      <c r="J1604"/>
      <c r="K1604"/>
      <c r="L1604"/>
      <c r="M1604"/>
      <c r="N1604"/>
      <c r="O1604"/>
      <c r="P1604"/>
      <c r="Q1604"/>
    </row>
    <row r="1605" spans="1:17" ht="15" x14ac:dyDescent="0.25">
      <c r="A1605"/>
      <c r="B1605"/>
      <c r="C1605"/>
      <c r="D1605"/>
      <c r="E1605"/>
      <c r="F1605"/>
      <c r="G1605"/>
      <c r="H1605"/>
      <c r="I1605"/>
      <c r="J1605"/>
      <c r="K1605"/>
      <c r="L1605"/>
      <c r="M1605"/>
      <c r="N1605"/>
      <c r="O1605"/>
      <c r="P1605"/>
      <c r="Q1605"/>
    </row>
    <row r="1606" spans="1:17" ht="15" x14ac:dyDescent="0.25">
      <c r="A1606"/>
      <c r="B1606"/>
      <c r="C1606"/>
      <c r="D1606"/>
      <c r="E1606"/>
      <c r="F1606"/>
      <c r="G1606"/>
      <c r="H1606"/>
      <c r="I1606"/>
      <c r="J1606"/>
      <c r="K1606"/>
      <c r="L1606"/>
      <c r="M1606"/>
      <c r="N1606"/>
      <c r="O1606"/>
      <c r="P1606"/>
      <c r="Q1606"/>
    </row>
    <row r="1607" spans="1:17" ht="15" x14ac:dyDescent="0.25">
      <c r="A1607"/>
      <c r="B1607"/>
      <c r="C1607"/>
      <c r="D1607"/>
      <c r="E1607"/>
      <c r="F1607"/>
      <c r="G1607"/>
      <c r="H1607"/>
      <c r="I1607"/>
      <c r="J1607"/>
      <c r="K1607"/>
      <c r="L1607"/>
      <c r="M1607"/>
      <c r="N1607"/>
      <c r="O1607"/>
      <c r="P1607"/>
      <c r="Q1607"/>
    </row>
    <row r="1608" spans="1:17" ht="15" x14ac:dyDescent="0.25">
      <c r="A1608"/>
      <c r="B1608"/>
      <c r="C1608"/>
      <c r="D1608"/>
      <c r="E1608"/>
      <c r="F1608"/>
      <c r="G1608"/>
      <c r="H1608"/>
      <c r="I1608"/>
      <c r="J1608"/>
      <c r="K1608"/>
      <c r="L1608"/>
      <c r="M1608"/>
      <c r="N1608"/>
      <c r="O1608"/>
      <c r="P1608"/>
      <c r="Q1608"/>
    </row>
    <row r="1609" spans="1:17" ht="15" x14ac:dyDescent="0.25">
      <c r="A1609"/>
      <c r="B1609"/>
      <c r="C1609"/>
      <c r="D1609"/>
      <c r="E1609"/>
      <c r="F1609"/>
      <c r="G1609"/>
      <c r="H1609"/>
      <c r="I1609"/>
      <c r="J1609"/>
      <c r="K1609"/>
      <c r="L1609"/>
      <c r="M1609"/>
      <c r="N1609"/>
      <c r="O1609"/>
      <c r="P1609"/>
      <c r="Q1609"/>
    </row>
    <row r="1610" spans="1:17" ht="15" x14ac:dyDescent="0.25">
      <c r="A1610"/>
      <c r="B1610"/>
      <c r="C1610"/>
      <c r="D1610"/>
      <c r="E1610"/>
      <c r="F1610"/>
      <c r="G1610"/>
      <c r="H1610"/>
      <c r="I1610"/>
      <c r="J1610"/>
      <c r="K1610"/>
      <c r="L1610"/>
      <c r="M1610"/>
      <c r="N1610"/>
      <c r="O1610"/>
      <c r="P1610"/>
      <c r="Q1610"/>
    </row>
    <row r="1611" spans="1:17" ht="15" x14ac:dyDescent="0.25">
      <c r="A1611"/>
      <c r="B1611"/>
      <c r="C1611"/>
      <c r="D1611"/>
      <c r="E1611"/>
      <c r="F1611"/>
      <c r="G1611"/>
      <c r="H1611"/>
      <c r="I1611"/>
      <c r="J1611"/>
      <c r="K1611"/>
      <c r="L1611"/>
      <c r="M1611"/>
      <c r="N1611"/>
      <c r="O1611"/>
      <c r="P1611"/>
      <c r="Q1611"/>
    </row>
    <row r="1612" spans="1:17" ht="15" x14ac:dyDescent="0.25">
      <c r="A1612"/>
      <c r="B1612"/>
      <c r="C1612"/>
      <c r="D1612"/>
      <c r="E1612"/>
      <c r="F1612"/>
      <c r="G1612"/>
      <c r="H1612"/>
      <c r="I1612"/>
      <c r="J1612"/>
      <c r="K1612"/>
      <c r="L1612"/>
      <c r="M1612"/>
      <c r="N1612"/>
      <c r="O1612"/>
      <c r="P1612"/>
      <c r="Q1612"/>
    </row>
    <row r="1613" spans="1:17" ht="15" x14ac:dyDescent="0.25">
      <c r="A1613"/>
      <c r="B1613"/>
      <c r="C1613"/>
      <c r="D1613"/>
      <c r="E1613"/>
      <c r="F1613"/>
      <c r="G1613"/>
      <c r="H1613"/>
      <c r="I1613"/>
      <c r="J1613"/>
      <c r="K1613"/>
      <c r="L1613"/>
      <c r="M1613"/>
      <c r="N1613"/>
      <c r="O1613"/>
      <c r="P1613"/>
      <c r="Q1613"/>
    </row>
    <row r="1614" spans="1:17" ht="15" x14ac:dyDescent="0.25">
      <c r="A1614"/>
      <c r="B1614"/>
      <c r="C1614"/>
      <c r="D1614"/>
      <c r="E1614"/>
      <c r="F1614"/>
      <c r="G1614"/>
      <c r="H1614"/>
      <c r="I1614"/>
      <c r="J1614"/>
      <c r="K1614"/>
      <c r="L1614"/>
      <c r="M1614"/>
      <c r="N1614"/>
      <c r="O1614"/>
      <c r="P1614"/>
      <c r="Q1614"/>
    </row>
    <row r="1615" spans="1:17" ht="15" x14ac:dyDescent="0.25">
      <c r="A1615"/>
      <c r="B1615"/>
      <c r="C1615"/>
      <c r="D1615"/>
      <c r="E1615"/>
      <c r="F1615"/>
      <c r="G1615"/>
      <c r="H1615"/>
      <c r="I1615"/>
      <c r="J1615"/>
      <c r="K1615"/>
      <c r="L1615"/>
      <c r="M1615"/>
      <c r="N1615"/>
      <c r="O1615"/>
      <c r="P1615"/>
      <c r="Q1615"/>
    </row>
    <row r="1616" spans="1:17" ht="15" x14ac:dyDescent="0.25">
      <c r="A1616"/>
      <c r="B1616"/>
      <c r="C1616"/>
      <c r="D1616"/>
      <c r="E1616"/>
      <c r="F1616"/>
      <c r="G1616"/>
      <c r="H1616"/>
      <c r="I1616"/>
      <c r="J1616"/>
      <c r="K1616"/>
      <c r="L1616"/>
      <c r="M1616"/>
      <c r="N1616"/>
      <c r="O1616"/>
      <c r="P1616"/>
      <c r="Q1616"/>
    </row>
    <row r="1617" spans="1:17" ht="15" x14ac:dyDescent="0.25">
      <c r="A1617"/>
      <c r="B1617"/>
      <c r="C1617"/>
      <c r="D1617"/>
      <c r="E1617"/>
      <c r="F1617"/>
      <c r="G1617"/>
      <c r="H1617"/>
      <c r="I1617"/>
      <c r="J1617"/>
      <c r="K1617"/>
      <c r="L1617"/>
      <c r="M1617"/>
      <c r="N1617"/>
      <c r="O1617"/>
      <c r="P1617"/>
      <c r="Q1617"/>
    </row>
    <row r="1618" spans="1:17" ht="15" x14ac:dyDescent="0.25">
      <c r="A1618"/>
      <c r="B1618"/>
      <c r="C1618"/>
      <c r="D1618"/>
      <c r="E1618"/>
      <c r="F1618"/>
      <c r="G1618"/>
      <c r="H1618"/>
      <c r="I1618"/>
      <c r="J1618"/>
      <c r="K1618"/>
      <c r="L1618"/>
      <c r="M1618"/>
      <c r="N1618"/>
      <c r="O1618"/>
      <c r="P1618"/>
      <c r="Q1618"/>
    </row>
    <row r="1619" spans="1:17" ht="15" x14ac:dyDescent="0.25">
      <c r="A1619"/>
      <c r="B1619"/>
      <c r="C1619"/>
      <c r="D1619"/>
      <c r="E1619"/>
      <c r="F1619"/>
      <c r="G1619"/>
      <c r="H1619"/>
      <c r="I1619"/>
      <c r="J1619"/>
      <c r="K1619"/>
      <c r="L1619"/>
      <c r="M1619"/>
      <c r="N1619"/>
      <c r="O1619"/>
      <c r="P1619"/>
      <c r="Q1619"/>
    </row>
    <row r="1620" spans="1:17" ht="15" x14ac:dyDescent="0.25">
      <c r="A1620"/>
      <c r="B1620"/>
      <c r="C1620"/>
      <c r="D1620"/>
      <c r="E1620"/>
      <c r="F1620"/>
      <c r="G1620"/>
      <c r="H1620"/>
      <c r="I1620"/>
      <c r="J1620"/>
      <c r="K1620"/>
      <c r="L1620"/>
      <c r="M1620"/>
      <c r="N1620"/>
      <c r="O1620"/>
      <c r="P1620"/>
      <c r="Q1620"/>
    </row>
    <row r="1621" spans="1:17" ht="15" x14ac:dyDescent="0.25">
      <c r="A1621"/>
      <c r="B1621"/>
      <c r="C1621"/>
      <c r="D1621"/>
      <c r="E1621"/>
      <c r="F1621"/>
      <c r="G1621"/>
      <c r="H1621"/>
      <c r="I1621"/>
      <c r="J1621"/>
      <c r="K1621"/>
      <c r="L1621"/>
      <c r="M1621"/>
      <c r="N1621"/>
      <c r="O1621"/>
      <c r="P1621"/>
      <c r="Q1621"/>
    </row>
    <row r="1622" spans="1:17" ht="15" x14ac:dyDescent="0.25">
      <c r="A1622"/>
      <c r="B1622"/>
      <c r="C1622"/>
      <c r="D1622"/>
      <c r="E1622"/>
      <c r="F1622"/>
      <c r="G1622"/>
      <c r="H1622"/>
      <c r="I1622"/>
      <c r="J1622"/>
      <c r="K1622"/>
      <c r="L1622"/>
      <c r="M1622"/>
      <c r="N1622"/>
      <c r="O1622"/>
      <c r="P1622"/>
      <c r="Q1622"/>
    </row>
    <row r="1623" spans="1:17" ht="15" x14ac:dyDescent="0.25">
      <c r="A1623"/>
      <c r="B1623"/>
      <c r="C1623"/>
      <c r="D1623"/>
      <c r="E1623"/>
      <c r="F1623"/>
      <c r="G1623"/>
      <c r="H1623"/>
      <c r="I1623"/>
      <c r="J1623"/>
      <c r="K1623"/>
      <c r="L1623"/>
      <c r="M1623"/>
      <c r="N1623"/>
      <c r="O1623"/>
      <c r="P1623"/>
      <c r="Q1623"/>
    </row>
    <row r="1624" spans="1:17" ht="15" x14ac:dyDescent="0.25">
      <c r="A1624"/>
      <c r="B1624"/>
      <c r="C1624"/>
      <c r="D1624"/>
      <c r="E1624"/>
      <c r="F1624"/>
      <c r="G1624"/>
      <c r="H1624"/>
      <c r="I1624"/>
      <c r="J1624"/>
      <c r="K1624"/>
      <c r="L1624"/>
      <c r="M1624"/>
      <c r="N1624"/>
      <c r="O1624"/>
      <c r="P1624"/>
      <c r="Q1624"/>
    </row>
    <row r="1625" spans="1:17" ht="15" x14ac:dyDescent="0.25">
      <c r="A1625"/>
      <c r="B1625"/>
      <c r="C1625"/>
      <c r="D1625"/>
      <c r="E1625"/>
      <c r="F1625"/>
      <c r="G1625"/>
      <c r="H1625"/>
      <c r="I1625"/>
      <c r="J1625"/>
      <c r="K1625"/>
      <c r="L1625"/>
      <c r="M1625"/>
      <c r="N1625"/>
      <c r="O1625"/>
      <c r="P1625"/>
      <c r="Q1625"/>
    </row>
    <row r="1626" spans="1:17" ht="15" x14ac:dyDescent="0.25">
      <c r="A1626"/>
      <c r="B1626"/>
      <c r="C1626"/>
      <c r="D1626"/>
      <c r="E1626"/>
      <c r="F1626"/>
      <c r="G1626"/>
      <c r="H1626"/>
      <c r="I1626"/>
      <c r="J1626"/>
      <c r="K1626"/>
      <c r="L1626"/>
      <c r="M1626"/>
      <c r="N1626"/>
      <c r="O1626"/>
      <c r="P1626"/>
      <c r="Q1626"/>
    </row>
    <row r="1627" spans="1:17" ht="15" x14ac:dyDescent="0.25">
      <c r="A1627"/>
      <c r="B1627"/>
      <c r="C1627"/>
      <c r="D1627"/>
      <c r="E1627"/>
      <c r="F1627"/>
      <c r="G1627"/>
      <c r="H1627"/>
      <c r="I1627"/>
      <c r="J1627"/>
      <c r="K1627"/>
      <c r="L1627"/>
      <c r="M1627"/>
      <c r="N1627"/>
      <c r="O1627"/>
      <c r="P1627"/>
      <c r="Q1627"/>
    </row>
    <row r="1628" spans="1:17" ht="15" x14ac:dyDescent="0.25">
      <c r="A1628"/>
      <c r="B1628"/>
      <c r="C1628"/>
      <c r="D1628"/>
      <c r="E1628"/>
      <c r="F1628"/>
      <c r="G1628"/>
      <c r="H1628"/>
      <c r="I1628"/>
      <c r="J1628"/>
      <c r="K1628"/>
      <c r="L1628"/>
      <c r="M1628"/>
      <c r="N1628"/>
      <c r="O1628"/>
      <c r="P1628"/>
      <c r="Q1628"/>
    </row>
    <row r="1629" spans="1:17" ht="15" x14ac:dyDescent="0.25">
      <c r="A1629"/>
      <c r="B1629"/>
      <c r="C1629"/>
      <c r="D1629"/>
      <c r="E1629"/>
      <c r="F1629"/>
      <c r="G1629"/>
      <c r="H1629"/>
      <c r="I1629"/>
      <c r="J1629"/>
      <c r="K1629"/>
      <c r="L1629"/>
      <c r="M1629"/>
    </row>
    <row r="1630" spans="1:17" ht="15" x14ac:dyDescent="0.25">
      <c r="A1630"/>
      <c r="B1630"/>
      <c r="C1630"/>
      <c r="D1630"/>
      <c r="E1630"/>
      <c r="F1630"/>
      <c r="G1630"/>
      <c r="H1630"/>
      <c r="I1630"/>
      <c r="J1630"/>
      <c r="K1630"/>
      <c r="L1630"/>
      <c r="M1630"/>
    </row>
    <row r="1631" spans="1:17" ht="15" x14ac:dyDescent="0.25">
      <c r="A1631"/>
      <c r="B1631"/>
      <c r="C1631"/>
      <c r="D1631"/>
      <c r="E1631"/>
      <c r="F1631"/>
      <c r="G1631"/>
      <c r="H1631"/>
      <c r="I1631"/>
      <c r="J1631"/>
      <c r="K1631"/>
      <c r="L1631"/>
      <c r="M1631"/>
    </row>
    <row r="1632" spans="1:17" ht="15" x14ac:dyDescent="0.25">
      <c r="A1632"/>
      <c r="B1632"/>
      <c r="C1632"/>
      <c r="D1632"/>
      <c r="E1632"/>
      <c r="F1632"/>
      <c r="G1632"/>
      <c r="H1632"/>
      <c r="I1632"/>
      <c r="J1632"/>
      <c r="K1632"/>
      <c r="L1632"/>
      <c r="M1632"/>
    </row>
    <row r="1633" spans="1:13" ht="15" x14ac:dyDescent="0.25">
      <c r="A1633"/>
      <c r="B1633"/>
      <c r="C1633"/>
      <c r="D1633"/>
      <c r="E1633"/>
      <c r="F1633"/>
      <c r="G1633"/>
      <c r="H1633"/>
      <c r="I1633"/>
      <c r="J1633"/>
      <c r="K1633"/>
      <c r="L1633"/>
      <c r="M1633"/>
    </row>
    <row r="1634" spans="1:13" ht="15" x14ac:dyDescent="0.25">
      <c r="A1634"/>
      <c r="B1634"/>
      <c r="C1634"/>
      <c r="D1634"/>
      <c r="E1634"/>
      <c r="F1634"/>
      <c r="G1634"/>
      <c r="H1634"/>
      <c r="I1634"/>
      <c r="J1634"/>
      <c r="K1634"/>
      <c r="L1634"/>
      <c r="M1634"/>
    </row>
    <row r="1635" spans="1:13" ht="15" x14ac:dyDescent="0.25">
      <c r="A1635"/>
      <c r="B1635"/>
      <c r="C1635"/>
      <c r="D1635"/>
      <c r="E1635"/>
      <c r="F1635"/>
      <c r="G1635"/>
      <c r="H1635"/>
      <c r="I1635"/>
      <c r="J1635"/>
      <c r="K1635"/>
      <c r="L1635"/>
      <c r="M1635"/>
    </row>
    <row r="1636" spans="1:13" ht="15" x14ac:dyDescent="0.25">
      <c r="A1636"/>
      <c r="B1636"/>
      <c r="C1636"/>
      <c r="D1636"/>
      <c r="E1636"/>
      <c r="F1636"/>
      <c r="G1636"/>
      <c r="H1636"/>
      <c r="I1636"/>
      <c r="J1636"/>
      <c r="K1636"/>
      <c r="L1636"/>
      <c r="M1636"/>
    </row>
    <row r="1637" spans="1:13" ht="15" x14ac:dyDescent="0.25">
      <c r="A1637"/>
      <c r="B1637"/>
      <c r="C1637"/>
      <c r="D1637"/>
      <c r="E1637"/>
      <c r="F1637"/>
      <c r="G1637"/>
      <c r="H1637"/>
      <c r="I1637"/>
      <c r="J1637"/>
      <c r="K1637"/>
      <c r="L1637"/>
      <c r="M1637"/>
    </row>
    <row r="1638" spans="1:13" ht="15" x14ac:dyDescent="0.25">
      <c r="A1638"/>
      <c r="B1638"/>
      <c r="C1638"/>
      <c r="D1638"/>
      <c r="E1638"/>
      <c r="F1638"/>
      <c r="G1638"/>
      <c r="H1638"/>
      <c r="I1638"/>
      <c r="J1638"/>
      <c r="K1638"/>
      <c r="L1638"/>
      <c r="M1638"/>
    </row>
    <row r="1639" spans="1:13" ht="15" x14ac:dyDescent="0.25">
      <c r="A1639"/>
      <c r="B1639"/>
      <c r="C1639"/>
      <c r="D1639"/>
      <c r="E1639"/>
      <c r="F1639"/>
      <c r="G1639"/>
      <c r="H1639"/>
      <c r="I1639"/>
      <c r="J1639"/>
      <c r="K1639"/>
      <c r="L1639"/>
      <c r="M1639"/>
    </row>
    <row r="1640" spans="1:13" ht="15" x14ac:dyDescent="0.25">
      <c r="A1640"/>
      <c r="B1640"/>
      <c r="C1640"/>
      <c r="D1640"/>
      <c r="E1640"/>
      <c r="F1640"/>
      <c r="G1640"/>
      <c r="H1640"/>
      <c r="I1640"/>
      <c r="J1640"/>
      <c r="K1640"/>
      <c r="L1640"/>
      <c r="M1640"/>
    </row>
    <row r="1641" spans="1:13" ht="15" x14ac:dyDescent="0.25">
      <c r="A1641"/>
      <c r="B1641"/>
      <c r="C1641"/>
      <c r="D1641"/>
      <c r="E1641"/>
      <c r="F1641"/>
      <c r="G1641"/>
      <c r="H1641"/>
      <c r="I1641"/>
      <c r="J1641"/>
      <c r="K1641"/>
      <c r="L1641"/>
      <c r="M1641"/>
    </row>
    <row r="1642" spans="1:13" ht="15" x14ac:dyDescent="0.25">
      <c r="A1642"/>
      <c r="B1642"/>
      <c r="C1642"/>
      <c r="D1642"/>
      <c r="E1642"/>
      <c r="F1642"/>
      <c r="G1642"/>
      <c r="H1642"/>
      <c r="I1642"/>
      <c r="J1642"/>
      <c r="K1642"/>
      <c r="L1642"/>
      <c r="M1642"/>
    </row>
    <row r="1643" spans="1:13" ht="15" x14ac:dyDescent="0.25">
      <c r="A1643"/>
      <c r="B1643"/>
      <c r="C1643"/>
      <c r="D1643"/>
      <c r="E1643"/>
      <c r="F1643"/>
      <c r="G1643"/>
      <c r="H1643"/>
      <c r="I1643"/>
      <c r="J1643"/>
      <c r="K1643"/>
      <c r="L1643"/>
      <c r="M1643"/>
    </row>
    <row r="1644" spans="1:13" ht="15" x14ac:dyDescent="0.25">
      <c r="A1644"/>
      <c r="B1644"/>
      <c r="C1644"/>
      <c r="D1644"/>
      <c r="E1644"/>
      <c r="F1644"/>
      <c r="G1644"/>
      <c r="H1644"/>
      <c r="I1644"/>
      <c r="J1644"/>
      <c r="K1644"/>
      <c r="L1644"/>
      <c r="M1644"/>
    </row>
    <row r="1645" spans="1:13" ht="15" x14ac:dyDescent="0.25">
      <c r="A1645"/>
      <c r="B1645"/>
      <c r="C1645"/>
      <c r="D1645"/>
      <c r="E1645"/>
      <c r="F1645"/>
      <c r="G1645"/>
      <c r="H1645"/>
      <c r="I1645"/>
      <c r="J1645"/>
      <c r="K1645"/>
      <c r="L1645"/>
      <c r="M1645"/>
    </row>
    <row r="1646" spans="1:13" ht="15" x14ac:dyDescent="0.25">
      <c r="A1646"/>
      <c r="B1646"/>
      <c r="C1646"/>
      <c r="D1646"/>
      <c r="E1646"/>
      <c r="F1646"/>
      <c r="G1646"/>
      <c r="H1646"/>
      <c r="I1646"/>
      <c r="J1646"/>
      <c r="K1646"/>
      <c r="L1646"/>
      <c r="M1646"/>
    </row>
    <row r="1647" spans="1:13" ht="15" x14ac:dyDescent="0.25">
      <c r="A1647"/>
      <c r="B1647"/>
      <c r="C1647"/>
      <c r="D1647"/>
      <c r="E1647"/>
      <c r="F1647"/>
      <c r="G1647"/>
      <c r="H1647"/>
      <c r="I1647"/>
      <c r="J1647"/>
      <c r="K1647"/>
      <c r="L1647"/>
      <c r="M1647"/>
    </row>
    <row r="1648" spans="1:13" ht="15" x14ac:dyDescent="0.25">
      <c r="A1648"/>
      <c r="B1648"/>
      <c r="C1648"/>
      <c r="D1648"/>
      <c r="E1648"/>
      <c r="F1648"/>
      <c r="G1648"/>
      <c r="H1648"/>
      <c r="I1648"/>
      <c r="J1648"/>
      <c r="K1648"/>
      <c r="L1648"/>
      <c r="M1648"/>
    </row>
    <row r="1649" spans="1:13" ht="15" x14ac:dyDescent="0.25">
      <c r="A1649"/>
      <c r="B1649"/>
      <c r="C1649"/>
      <c r="D1649"/>
      <c r="E1649"/>
      <c r="F1649"/>
      <c r="G1649"/>
      <c r="H1649"/>
      <c r="I1649"/>
      <c r="J1649"/>
      <c r="K1649"/>
      <c r="L1649"/>
      <c r="M1649"/>
    </row>
    <row r="1650" spans="1:13" ht="15" x14ac:dyDescent="0.25">
      <c r="A1650"/>
      <c r="B1650"/>
      <c r="C1650"/>
      <c r="D1650"/>
      <c r="E1650"/>
      <c r="F1650"/>
      <c r="G1650"/>
      <c r="H1650"/>
      <c r="I1650"/>
      <c r="J1650"/>
      <c r="K1650"/>
      <c r="L1650"/>
      <c r="M1650"/>
    </row>
    <row r="1651" spans="1:13" ht="15" x14ac:dyDescent="0.25">
      <c r="A1651"/>
      <c r="B1651"/>
      <c r="C1651"/>
      <c r="D1651"/>
      <c r="E1651"/>
      <c r="F1651"/>
      <c r="G1651"/>
      <c r="H1651"/>
      <c r="I1651"/>
      <c r="J1651"/>
      <c r="K1651"/>
      <c r="L1651"/>
      <c r="M1651"/>
    </row>
    <row r="1652" spans="1:13" ht="15" x14ac:dyDescent="0.25">
      <c r="A1652"/>
      <c r="B1652"/>
      <c r="C1652"/>
      <c r="D1652"/>
      <c r="E1652"/>
      <c r="F1652"/>
      <c r="G1652"/>
      <c r="H1652"/>
      <c r="I1652"/>
      <c r="J1652"/>
      <c r="K1652"/>
      <c r="L1652"/>
      <c r="M1652"/>
    </row>
    <row r="1653" spans="1:13" ht="15" x14ac:dyDescent="0.25">
      <c r="A1653"/>
      <c r="B1653"/>
      <c r="C1653"/>
      <c r="D1653"/>
      <c r="E1653"/>
      <c r="F1653"/>
      <c r="G1653"/>
      <c r="H1653"/>
      <c r="I1653"/>
      <c r="J1653"/>
      <c r="K1653"/>
      <c r="L1653"/>
      <c r="M1653"/>
    </row>
    <row r="1654" spans="1:13" ht="15" x14ac:dyDescent="0.25">
      <c r="A1654"/>
      <c r="B1654"/>
      <c r="C1654"/>
      <c r="D1654"/>
      <c r="E1654"/>
      <c r="F1654"/>
      <c r="G1654"/>
      <c r="H1654"/>
      <c r="I1654"/>
      <c r="J1654"/>
      <c r="K1654"/>
      <c r="L1654"/>
      <c r="M1654"/>
    </row>
    <row r="1655" spans="1:13" ht="15" x14ac:dyDescent="0.25">
      <c r="A1655"/>
      <c r="B1655"/>
      <c r="C1655"/>
      <c r="D1655"/>
      <c r="E1655"/>
      <c r="F1655"/>
      <c r="G1655"/>
      <c r="H1655"/>
      <c r="I1655"/>
      <c r="J1655"/>
      <c r="K1655"/>
      <c r="L1655"/>
      <c r="M1655"/>
    </row>
    <row r="1656" spans="1:13" ht="15" x14ac:dyDescent="0.25">
      <c r="A1656"/>
      <c r="B1656"/>
      <c r="C1656"/>
      <c r="D1656"/>
      <c r="E1656"/>
      <c r="F1656"/>
      <c r="G1656"/>
      <c r="H1656"/>
      <c r="I1656"/>
      <c r="J1656"/>
      <c r="K1656"/>
      <c r="L1656"/>
      <c r="M1656"/>
    </row>
    <row r="1657" spans="1:13" ht="15" x14ac:dyDescent="0.25">
      <c r="A1657"/>
      <c r="B1657"/>
      <c r="C1657"/>
      <c r="D1657"/>
      <c r="E1657"/>
      <c r="F1657"/>
      <c r="G1657"/>
      <c r="H1657"/>
      <c r="I1657"/>
      <c r="J1657"/>
      <c r="K1657"/>
      <c r="L1657"/>
      <c r="M1657"/>
    </row>
    <row r="1658" spans="1:13" ht="15" x14ac:dyDescent="0.25">
      <c r="A1658"/>
      <c r="B1658"/>
      <c r="C1658"/>
      <c r="D1658"/>
      <c r="E1658"/>
      <c r="F1658"/>
      <c r="G1658"/>
      <c r="H1658"/>
      <c r="I1658"/>
      <c r="J1658"/>
      <c r="K1658"/>
      <c r="L1658"/>
      <c r="M1658"/>
    </row>
    <row r="1659" spans="1:13" ht="15" x14ac:dyDescent="0.25">
      <c r="A1659"/>
      <c r="B1659"/>
      <c r="C1659"/>
      <c r="D1659"/>
      <c r="E1659"/>
      <c r="F1659"/>
      <c r="G1659"/>
      <c r="H1659"/>
      <c r="I1659"/>
      <c r="J1659"/>
      <c r="K1659"/>
      <c r="L1659"/>
      <c r="M1659"/>
    </row>
    <row r="1660" spans="1:13" ht="15" x14ac:dyDescent="0.25">
      <c r="A1660"/>
      <c r="B1660"/>
      <c r="C1660"/>
      <c r="D1660"/>
      <c r="E1660"/>
      <c r="F1660"/>
      <c r="G1660"/>
      <c r="H1660"/>
      <c r="I1660"/>
      <c r="J1660"/>
      <c r="K1660"/>
      <c r="L1660"/>
      <c r="M1660"/>
    </row>
    <row r="1661" spans="1:13" ht="15" x14ac:dyDescent="0.25">
      <c r="A1661"/>
      <c r="B1661"/>
      <c r="C1661"/>
      <c r="D1661"/>
      <c r="E1661"/>
      <c r="F1661"/>
      <c r="G1661"/>
      <c r="H1661"/>
      <c r="I1661"/>
      <c r="J1661"/>
      <c r="K1661"/>
      <c r="L1661"/>
      <c r="M1661"/>
    </row>
    <row r="1662" spans="1:13" ht="15" x14ac:dyDescent="0.25">
      <c r="A1662"/>
      <c r="B1662"/>
      <c r="C1662"/>
      <c r="D1662"/>
      <c r="E1662"/>
      <c r="F1662"/>
      <c r="G1662"/>
      <c r="H1662"/>
      <c r="I1662"/>
      <c r="J1662"/>
      <c r="K1662"/>
      <c r="L1662"/>
      <c r="M1662"/>
    </row>
    <row r="1663" spans="1:13" ht="15" x14ac:dyDescent="0.25">
      <c r="A1663"/>
      <c r="B1663"/>
      <c r="C1663"/>
      <c r="D1663"/>
      <c r="E1663"/>
      <c r="F1663"/>
      <c r="G1663"/>
      <c r="H1663"/>
      <c r="I1663"/>
      <c r="J1663"/>
      <c r="K1663"/>
      <c r="L1663"/>
      <c r="M1663"/>
    </row>
    <row r="1664" spans="1:13" ht="15" x14ac:dyDescent="0.25">
      <c r="A1664"/>
      <c r="B1664"/>
      <c r="C1664"/>
      <c r="D1664"/>
      <c r="E1664"/>
      <c r="F1664"/>
      <c r="G1664"/>
      <c r="H1664"/>
      <c r="I1664"/>
      <c r="J1664"/>
      <c r="K1664"/>
      <c r="L1664"/>
      <c r="M1664"/>
    </row>
    <row r="1665" spans="1:13" ht="15" x14ac:dyDescent="0.25">
      <c r="A1665"/>
      <c r="B1665"/>
      <c r="C1665"/>
      <c r="D1665"/>
      <c r="E1665"/>
      <c r="F1665"/>
      <c r="G1665"/>
      <c r="H1665"/>
      <c r="I1665"/>
      <c r="J1665"/>
      <c r="K1665"/>
      <c r="L1665"/>
      <c r="M1665"/>
    </row>
    <row r="1666" spans="1:13" ht="15" x14ac:dyDescent="0.25">
      <c r="A1666"/>
      <c r="B1666"/>
      <c r="C1666"/>
      <c r="D1666"/>
      <c r="E1666"/>
      <c r="F1666"/>
      <c r="G1666"/>
      <c r="H1666"/>
      <c r="I1666"/>
      <c r="J1666"/>
      <c r="K1666"/>
      <c r="L1666"/>
      <c r="M1666"/>
    </row>
    <row r="1667" spans="1:13" ht="15" x14ac:dyDescent="0.25">
      <c r="A1667"/>
      <c r="B1667"/>
      <c r="C1667"/>
      <c r="D1667"/>
      <c r="E1667"/>
      <c r="F1667"/>
      <c r="G1667"/>
      <c r="H1667"/>
      <c r="I1667"/>
      <c r="J1667"/>
      <c r="K1667"/>
      <c r="L1667"/>
      <c r="M1667"/>
    </row>
    <row r="1668" spans="1:13" ht="15" x14ac:dyDescent="0.25">
      <c r="A1668"/>
      <c r="B1668"/>
      <c r="C1668"/>
      <c r="D1668"/>
      <c r="E1668"/>
      <c r="F1668"/>
      <c r="G1668"/>
      <c r="H1668"/>
      <c r="I1668"/>
      <c r="J1668"/>
      <c r="K1668"/>
      <c r="L1668"/>
      <c r="M1668"/>
    </row>
    <row r="1669" spans="1:13" ht="15" x14ac:dyDescent="0.25">
      <c r="A1669"/>
      <c r="B1669"/>
      <c r="C1669"/>
      <c r="D1669"/>
      <c r="E1669"/>
      <c r="F1669"/>
      <c r="G1669"/>
      <c r="H1669"/>
      <c r="I1669"/>
      <c r="J1669"/>
      <c r="K1669"/>
      <c r="L1669"/>
      <c r="M1669"/>
    </row>
    <row r="1670" spans="1:13" ht="15" x14ac:dyDescent="0.25">
      <c r="A1670"/>
      <c r="B1670"/>
      <c r="C1670"/>
      <c r="D1670"/>
      <c r="E1670"/>
      <c r="F1670"/>
      <c r="G1670"/>
      <c r="H1670"/>
      <c r="I1670"/>
      <c r="J1670"/>
      <c r="K1670"/>
      <c r="L1670"/>
      <c r="M1670"/>
    </row>
    <row r="1671" spans="1:13" ht="15" x14ac:dyDescent="0.25">
      <c r="A1671"/>
      <c r="B1671"/>
      <c r="C1671"/>
      <c r="D1671"/>
      <c r="E1671"/>
      <c r="F1671"/>
      <c r="G1671"/>
      <c r="H1671"/>
      <c r="I1671"/>
      <c r="J1671"/>
      <c r="K1671"/>
      <c r="L1671"/>
      <c r="M1671"/>
    </row>
    <row r="1672" spans="1:13" ht="15" x14ac:dyDescent="0.25">
      <c r="A1672"/>
      <c r="B1672"/>
      <c r="C1672"/>
      <c r="D1672"/>
      <c r="E1672"/>
      <c r="F1672"/>
      <c r="G1672"/>
      <c r="H1672"/>
      <c r="I1672"/>
      <c r="J1672"/>
      <c r="K1672"/>
      <c r="L1672"/>
      <c r="M1672"/>
    </row>
    <row r="1673" spans="1:13" ht="15" x14ac:dyDescent="0.25">
      <c r="A1673"/>
      <c r="B1673"/>
      <c r="C1673"/>
      <c r="D1673"/>
      <c r="E1673"/>
      <c r="F1673"/>
      <c r="G1673"/>
      <c r="H1673"/>
      <c r="I1673"/>
      <c r="J1673"/>
      <c r="K1673"/>
      <c r="L1673"/>
      <c r="M1673"/>
    </row>
    <row r="1674" spans="1:13" ht="15" x14ac:dyDescent="0.25">
      <c r="A1674"/>
      <c r="B1674"/>
      <c r="C1674"/>
      <c r="D1674"/>
      <c r="E1674"/>
      <c r="F1674"/>
      <c r="G1674"/>
      <c r="H1674"/>
      <c r="I1674"/>
      <c r="J1674"/>
      <c r="K1674"/>
      <c r="L1674"/>
      <c r="M1674"/>
    </row>
    <row r="1675" spans="1:13" ht="15" x14ac:dyDescent="0.25">
      <c r="A1675"/>
      <c r="B1675"/>
      <c r="C1675"/>
      <c r="D1675"/>
      <c r="E1675"/>
      <c r="F1675"/>
      <c r="G1675"/>
      <c r="H1675"/>
      <c r="I1675"/>
      <c r="J1675"/>
      <c r="K1675"/>
      <c r="L1675"/>
      <c r="M1675"/>
    </row>
    <row r="1676" spans="1:13" ht="15" x14ac:dyDescent="0.25">
      <c r="A1676"/>
      <c r="B1676"/>
      <c r="C1676"/>
      <c r="D1676"/>
      <c r="E1676"/>
      <c r="F1676"/>
      <c r="G1676"/>
      <c r="H1676"/>
      <c r="I1676"/>
      <c r="J1676"/>
      <c r="K1676"/>
      <c r="L1676"/>
      <c r="M1676"/>
    </row>
    <row r="1677" spans="1:13" ht="15" x14ac:dyDescent="0.25">
      <c r="A1677"/>
      <c r="B1677"/>
      <c r="C1677"/>
      <c r="D1677"/>
      <c r="E1677"/>
      <c r="F1677"/>
      <c r="G1677"/>
      <c r="H1677"/>
      <c r="I1677"/>
      <c r="J1677"/>
      <c r="K1677"/>
      <c r="L1677"/>
      <c r="M1677"/>
    </row>
    <row r="1678" spans="1:13" ht="15" x14ac:dyDescent="0.25">
      <c r="A1678"/>
      <c r="B1678"/>
      <c r="C1678"/>
      <c r="D1678"/>
      <c r="E1678"/>
      <c r="F1678"/>
      <c r="G1678"/>
      <c r="H1678"/>
      <c r="I1678"/>
      <c r="J1678"/>
      <c r="K1678"/>
      <c r="L1678"/>
      <c r="M1678"/>
    </row>
    <row r="1679" spans="1:13" ht="15" x14ac:dyDescent="0.25">
      <c r="A1679"/>
      <c r="B1679"/>
      <c r="C1679"/>
      <c r="D1679"/>
      <c r="E1679"/>
      <c r="F1679"/>
      <c r="G1679"/>
      <c r="H1679"/>
      <c r="I1679"/>
      <c r="J1679"/>
      <c r="K1679"/>
      <c r="L1679"/>
      <c r="M1679"/>
    </row>
    <row r="1680" spans="1:13" ht="15" x14ac:dyDescent="0.25">
      <c r="A1680"/>
      <c r="B1680"/>
      <c r="C1680"/>
      <c r="D1680"/>
      <c r="E1680"/>
      <c r="F1680"/>
      <c r="G1680"/>
      <c r="H1680"/>
      <c r="I1680"/>
      <c r="J1680"/>
      <c r="K1680"/>
      <c r="L1680"/>
      <c r="M1680"/>
    </row>
    <row r="1681" spans="1:13" ht="15" x14ac:dyDescent="0.25">
      <c r="A1681"/>
      <c r="B1681"/>
      <c r="C1681"/>
      <c r="D1681"/>
      <c r="E1681"/>
      <c r="F1681"/>
      <c r="G1681"/>
      <c r="H1681"/>
      <c r="I1681"/>
      <c r="J1681"/>
      <c r="K1681"/>
      <c r="L1681"/>
      <c r="M1681"/>
    </row>
    <row r="1682" spans="1:13" ht="15" x14ac:dyDescent="0.25">
      <c r="A1682"/>
      <c r="B1682"/>
      <c r="C1682"/>
      <c r="D1682"/>
      <c r="E1682"/>
      <c r="F1682"/>
      <c r="G1682"/>
      <c r="H1682"/>
      <c r="I1682"/>
      <c r="J1682"/>
      <c r="K1682"/>
      <c r="L1682"/>
      <c r="M1682"/>
    </row>
    <row r="1683" spans="1:13" ht="15" x14ac:dyDescent="0.25">
      <c r="A1683"/>
      <c r="B1683"/>
      <c r="C1683"/>
      <c r="D1683"/>
      <c r="E1683"/>
      <c r="F1683"/>
      <c r="G1683"/>
      <c r="H1683"/>
      <c r="I1683"/>
      <c r="J1683"/>
      <c r="K1683"/>
      <c r="L1683"/>
      <c r="M1683"/>
    </row>
    <row r="1684" spans="1:13" ht="15" x14ac:dyDescent="0.25">
      <c r="A1684"/>
      <c r="B1684"/>
      <c r="C1684"/>
      <c r="D1684"/>
      <c r="E1684"/>
      <c r="F1684"/>
      <c r="G1684"/>
      <c r="H1684"/>
      <c r="I1684"/>
      <c r="J1684"/>
      <c r="K1684"/>
      <c r="L1684"/>
      <c r="M1684"/>
    </row>
    <row r="1685" spans="1:13" ht="15" x14ac:dyDescent="0.25">
      <c r="A1685"/>
      <c r="B1685"/>
      <c r="C1685"/>
      <c r="D1685"/>
      <c r="E1685"/>
      <c r="F1685"/>
      <c r="G1685"/>
      <c r="H1685"/>
      <c r="I1685"/>
      <c r="J1685"/>
      <c r="K1685"/>
      <c r="L1685"/>
      <c r="M1685"/>
    </row>
    <row r="1686" spans="1:13" ht="15" x14ac:dyDescent="0.25">
      <c r="A1686"/>
      <c r="B1686"/>
      <c r="C1686"/>
      <c r="D1686"/>
      <c r="E1686"/>
      <c r="F1686"/>
      <c r="G1686"/>
      <c r="H1686"/>
      <c r="I1686"/>
      <c r="J1686"/>
      <c r="K1686"/>
      <c r="L1686"/>
      <c r="M1686"/>
    </row>
    <row r="1687" spans="1:13" ht="15" x14ac:dyDescent="0.25">
      <c r="A1687"/>
      <c r="B1687"/>
      <c r="C1687"/>
      <c r="D1687"/>
      <c r="E1687"/>
      <c r="F1687"/>
      <c r="G1687"/>
      <c r="H1687"/>
      <c r="I1687"/>
      <c r="J1687"/>
      <c r="K1687"/>
      <c r="L1687"/>
      <c r="M1687"/>
    </row>
    <row r="1688" spans="1:13" ht="15" x14ac:dyDescent="0.25">
      <c r="A1688"/>
      <c r="B1688"/>
      <c r="C1688"/>
      <c r="D1688"/>
      <c r="E1688"/>
      <c r="F1688"/>
      <c r="G1688"/>
      <c r="H1688"/>
      <c r="I1688"/>
      <c r="J1688"/>
      <c r="K1688"/>
      <c r="L1688"/>
      <c r="M1688"/>
    </row>
    <row r="1689" spans="1:13" ht="15" x14ac:dyDescent="0.25">
      <c r="A1689"/>
      <c r="B1689"/>
      <c r="C1689"/>
      <c r="D1689"/>
      <c r="E1689"/>
      <c r="F1689"/>
      <c r="G1689"/>
      <c r="H1689"/>
      <c r="I1689"/>
      <c r="J1689"/>
      <c r="K1689"/>
      <c r="L1689"/>
      <c r="M1689"/>
    </row>
    <row r="1690" spans="1:13" ht="15" x14ac:dyDescent="0.25">
      <c r="A1690"/>
      <c r="B1690"/>
      <c r="C1690"/>
      <c r="D1690"/>
      <c r="E1690"/>
      <c r="F1690"/>
      <c r="G1690"/>
      <c r="H1690"/>
      <c r="I1690"/>
      <c r="J1690"/>
      <c r="K1690"/>
      <c r="L1690"/>
      <c r="M1690"/>
    </row>
    <row r="1691" spans="1:13" ht="15" x14ac:dyDescent="0.25">
      <c r="A1691"/>
      <c r="B1691"/>
      <c r="C1691"/>
      <c r="D1691"/>
      <c r="E1691"/>
      <c r="F1691"/>
      <c r="G1691"/>
      <c r="H1691"/>
      <c r="I1691"/>
      <c r="J1691"/>
      <c r="K1691"/>
      <c r="L1691"/>
      <c r="M1691"/>
    </row>
    <row r="1692" spans="1:13" ht="15" x14ac:dyDescent="0.25">
      <c r="A1692"/>
      <c r="B1692"/>
      <c r="C1692"/>
      <c r="D1692"/>
      <c r="E1692"/>
      <c r="F1692"/>
      <c r="G1692"/>
      <c r="H1692"/>
      <c r="I1692"/>
      <c r="J1692"/>
      <c r="K1692"/>
      <c r="L1692"/>
      <c r="M1692"/>
    </row>
    <row r="1693" spans="1:13" ht="15" x14ac:dyDescent="0.25">
      <c r="A1693"/>
      <c r="B1693"/>
      <c r="C1693"/>
      <c r="D1693"/>
      <c r="E1693"/>
      <c r="F1693"/>
      <c r="G1693"/>
      <c r="H1693"/>
      <c r="I1693"/>
      <c r="J1693"/>
      <c r="K1693"/>
      <c r="L1693"/>
      <c r="M1693"/>
    </row>
    <row r="1694" spans="1:13" ht="15" x14ac:dyDescent="0.25">
      <c r="A1694"/>
      <c r="B1694"/>
      <c r="C1694"/>
      <c r="D1694"/>
      <c r="E1694"/>
      <c r="F1694"/>
      <c r="G1694"/>
      <c r="H1694"/>
      <c r="I1694"/>
      <c r="J1694"/>
      <c r="K1694"/>
      <c r="L1694"/>
      <c r="M1694"/>
    </row>
    <row r="1695" spans="1:13" ht="15" x14ac:dyDescent="0.25">
      <c r="A1695"/>
      <c r="B1695"/>
      <c r="C1695"/>
      <c r="D1695"/>
      <c r="E1695"/>
      <c r="F1695"/>
      <c r="G1695"/>
      <c r="H1695"/>
      <c r="I1695"/>
      <c r="J1695"/>
      <c r="K1695"/>
      <c r="L1695"/>
      <c r="M1695"/>
    </row>
    <row r="1696" spans="1:13" ht="15" x14ac:dyDescent="0.25">
      <c r="A1696"/>
      <c r="B1696"/>
      <c r="C1696"/>
      <c r="D1696"/>
      <c r="E1696"/>
      <c r="F1696"/>
      <c r="G1696"/>
      <c r="H1696"/>
      <c r="I1696"/>
      <c r="J1696"/>
      <c r="K1696"/>
      <c r="L1696"/>
      <c r="M1696"/>
    </row>
    <row r="1697" spans="1:13" ht="15" x14ac:dyDescent="0.25">
      <c r="A1697"/>
      <c r="B1697"/>
      <c r="C1697"/>
      <c r="D1697"/>
      <c r="E1697"/>
      <c r="F1697"/>
      <c r="G1697"/>
      <c r="H1697"/>
      <c r="I1697"/>
      <c r="J1697"/>
      <c r="K1697"/>
      <c r="L1697"/>
      <c r="M1697"/>
    </row>
    <row r="1698" spans="1:13" ht="15" x14ac:dyDescent="0.25">
      <c r="A1698"/>
      <c r="B1698"/>
      <c r="C1698"/>
      <c r="D1698"/>
      <c r="E1698"/>
      <c r="F1698"/>
      <c r="G1698"/>
      <c r="H1698"/>
      <c r="I1698"/>
      <c r="J1698"/>
      <c r="K1698"/>
      <c r="L1698"/>
      <c r="M1698"/>
    </row>
    <row r="1699" spans="1:13" ht="15" x14ac:dyDescent="0.25">
      <c r="A1699"/>
      <c r="B1699"/>
      <c r="C1699"/>
      <c r="D1699"/>
      <c r="E1699"/>
      <c r="F1699"/>
      <c r="G1699"/>
      <c r="H1699"/>
      <c r="I1699"/>
      <c r="J1699"/>
      <c r="K1699"/>
      <c r="L1699"/>
      <c r="M1699"/>
    </row>
    <row r="1700" spans="1:13" ht="15" x14ac:dyDescent="0.25">
      <c r="A1700"/>
      <c r="B1700"/>
      <c r="C1700"/>
      <c r="D1700"/>
      <c r="E1700"/>
      <c r="F1700"/>
      <c r="G1700"/>
      <c r="H1700"/>
      <c r="I1700"/>
      <c r="J1700"/>
      <c r="K1700"/>
      <c r="L1700"/>
      <c r="M1700"/>
    </row>
    <row r="1701" spans="1:13" ht="15" x14ac:dyDescent="0.25">
      <c r="A1701"/>
      <c r="B1701"/>
      <c r="C1701"/>
      <c r="D1701"/>
      <c r="E1701"/>
      <c r="F1701"/>
      <c r="G1701"/>
      <c r="H1701"/>
      <c r="I1701"/>
      <c r="J1701"/>
      <c r="K1701"/>
      <c r="L1701"/>
      <c r="M1701"/>
    </row>
    <row r="1702" spans="1:13" ht="15" x14ac:dyDescent="0.25">
      <c r="A1702"/>
      <c r="B1702"/>
      <c r="C1702"/>
      <c r="D1702"/>
      <c r="E1702"/>
      <c r="F1702"/>
      <c r="G1702"/>
      <c r="H1702"/>
      <c r="I1702"/>
      <c r="J1702"/>
      <c r="K1702"/>
      <c r="L1702"/>
      <c r="M1702"/>
    </row>
    <row r="1703" spans="1:13" ht="15" x14ac:dyDescent="0.25">
      <c r="A1703"/>
      <c r="B1703"/>
      <c r="C1703"/>
      <c r="D1703"/>
      <c r="E1703"/>
      <c r="F1703"/>
      <c r="G1703"/>
      <c r="H1703"/>
      <c r="I1703"/>
      <c r="J1703"/>
      <c r="K1703"/>
      <c r="L1703"/>
      <c r="M1703"/>
    </row>
    <row r="1704" spans="1:13" ht="15" x14ac:dyDescent="0.25">
      <c r="A1704"/>
      <c r="B1704"/>
      <c r="C1704"/>
      <c r="D1704"/>
      <c r="E1704"/>
      <c r="F1704"/>
      <c r="G1704"/>
      <c r="H1704"/>
      <c r="I1704"/>
      <c r="J1704"/>
      <c r="K1704"/>
      <c r="L1704"/>
      <c r="M1704"/>
    </row>
    <row r="1705" spans="1:13" ht="15" x14ac:dyDescent="0.25">
      <c r="A1705"/>
      <c r="B1705"/>
      <c r="C1705"/>
      <c r="D1705"/>
      <c r="E1705"/>
      <c r="F1705"/>
      <c r="G1705"/>
      <c r="H1705"/>
      <c r="I1705"/>
      <c r="J1705"/>
      <c r="K1705"/>
      <c r="L1705"/>
      <c r="M1705"/>
    </row>
    <row r="1706" spans="1:13" ht="15" x14ac:dyDescent="0.25">
      <c r="A1706"/>
      <c r="B1706"/>
      <c r="C1706"/>
      <c r="D1706"/>
      <c r="E1706"/>
      <c r="F1706"/>
      <c r="G1706"/>
      <c r="H1706"/>
      <c r="I1706"/>
      <c r="J1706"/>
      <c r="K1706"/>
      <c r="L1706"/>
      <c r="M1706"/>
    </row>
    <row r="1707" spans="1:13" ht="15" x14ac:dyDescent="0.25">
      <c r="A1707"/>
      <c r="B1707"/>
      <c r="C1707"/>
      <c r="D1707"/>
      <c r="E1707"/>
      <c r="F1707"/>
      <c r="G1707"/>
      <c r="H1707"/>
      <c r="I1707"/>
      <c r="J1707"/>
      <c r="K1707"/>
      <c r="L1707"/>
      <c r="M1707"/>
    </row>
    <row r="1708" spans="1:13" ht="15" x14ac:dyDescent="0.25">
      <c r="A1708"/>
      <c r="B1708"/>
      <c r="C1708"/>
      <c r="D1708"/>
      <c r="E1708"/>
      <c r="F1708"/>
      <c r="G1708"/>
      <c r="H1708"/>
      <c r="I1708"/>
      <c r="J1708"/>
      <c r="K1708"/>
      <c r="L1708"/>
      <c r="M1708"/>
    </row>
    <row r="1709" spans="1:13" ht="15" x14ac:dyDescent="0.25">
      <c r="A1709"/>
      <c r="B1709"/>
      <c r="C1709"/>
      <c r="D1709"/>
      <c r="E1709"/>
      <c r="F1709"/>
      <c r="G1709"/>
      <c r="H1709"/>
      <c r="I1709"/>
      <c r="J1709"/>
      <c r="K1709"/>
      <c r="L1709"/>
      <c r="M1709"/>
    </row>
    <row r="1710" spans="1:13" ht="15" x14ac:dyDescent="0.25">
      <c r="A1710"/>
      <c r="B1710"/>
      <c r="C1710"/>
      <c r="D1710"/>
      <c r="E1710"/>
      <c r="F1710"/>
      <c r="G1710"/>
      <c r="H1710"/>
      <c r="I1710"/>
      <c r="J1710"/>
      <c r="K1710"/>
      <c r="L1710"/>
      <c r="M1710"/>
    </row>
    <row r="1711" spans="1:13" ht="15" x14ac:dyDescent="0.25">
      <c r="A1711"/>
      <c r="B1711"/>
      <c r="C1711"/>
      <c r="D1711"/>
      <c r="E1711"/>
      <c r="F1711"/>
      <c r="G1711"/>
      <c r="H1711"/>
      <c r="I1711"/>
      <c r="J1711"/>
      <c r="K1711"/>
      <c r="L1711"/>
      <c r="M1711"/>
    </row>
    <row r="1712" spans="1:13" ht="15" x14ac:dyDescent="0.25">
      <c r="A1712"/>
      <c r="B1712"/>
      <c r="C1712"/>
      <c r="D1712"/>
      <c r="E1712"/>
      <c r="F1712"/>
      <c r="G1712"/>
      <c r="H1712"/>
      <c r="I1712"/>
      <c r="J1712"/>
      <c r="K1712"/>
      <c r="L1712"/>
      <c r="M1712"/>
    </row>
    <row r="1713" spans="1:13" ht="15" x14ac:dyDescent="0.25">
      <c r="A1713"/>
      <c r="B1713"/>
      <c r="C1713"/>
      <c r="D1713"/>
      <c r="E1713"/>
      <c r="F1713"/>
      <c r="G1713"/>
      <c r="H1713"/>
      <c r="I1713"/>
      <c r="J1713"/>
      <c r="K1713"/>
      <c r="L1713"/>
      <c r="M1713"/>
    </row>
    <row r="1714" spans="1:13" ht="15" x14ac:dyDescent="0.25">
      <c r="A1714"/>
      <c r="B1714"/>
      <c r="C1714"/>
      <c r="D1714"/>
      <c r="E1714"/>
      <c r="F1714"/>
      <c r="G1714"/>
      <c r="H1714"/>
      <c r="I1714"/>
      <c r="J1714"/>
      <c r="K1714"/>
      <c r="L1714"/>
      <c r="M1714"/>
    </row>
    <row r="1715" spans="1:13" ht="15" x14ac:dyDescent="0.25">
      <c r="A1715"/>
      <c r="B1715"/>
      <c r="C1715"/>
      <c r="D1715"/>
      <c r="E1715"/>
      <c r="F1715"/>
      <c r="G1715"/>
      <c r="H1715"/>
      <c r="I1715"/>
      <c r="J1715"/>
      <c r="K1715"/>
      <c r="L1715"/>
      <c r="M1715"/>
    </row>
    <row r="1716" spans="1:13" ht="15" x14ac:dyDescent="0.25">
      <c r="A1716"/>
      <c r="B1716"/>
      <c r="C1716"/>
      <c r="D1716"/>
      <c r="E1716"/>
      <c r="F1716"/>
      <c r="G1716"/>
      <c r="H1716"/>
      <c r="I1716"/>
      <c r="J1716"/>
      <c r="K1716"/>
      <c r="L1716"/>
      <c r="M1716"/>
    </row>
    <row r="1717" spans="1:13" ht="15" x14ac:dyDescent="0.25">
      <c r="A1717"/>
      <c r="B1717"/>
      <c r="C1717"/>
      <c r="D1717"/>
      <c r="E1717"/>
      <c r="F1717"/>
      <c r="G1717"/>
      <c r="H1717"/>
      <c r="I1717"/>
      <c r="J1717"/>
      <c r="K1717"/>
      <c r="L1717"/>
      <c r="M1717"/>
    </row>
    <row r="1718" spans="1:13" ht="15" x14ac:dyDescent="0.25">
      <c r="A1718"/>
      <c r="B1718"/>
      <c r="C1718"/>
      <c r="D1718"/>
      <c r="E1718"/>
      <c r="F1718"/>
      <c r="G1718"/>
      <c r="H1718"/>
      <c r="I1718"/>
      <c r="J1718"/>
      <c r="K1718"/>
      <c r="L1718"/>
      <c r="M1718"/>
    </row>
    <row r="1719" spans="1:13" ht="15" x14ac:dyDescent="0.25">
      <c r="A1719"/>
      <c r="B1719"/>
      <c r="C1719"/>
      <c r="D1719"/>
      <c r="E1719"/>
      <c r="F1719"/>
      <c r="G1719"/>
      <c r="H1719"/>
      <c r="I1719"/>
      <c r="J1719"/>
      <c r="K1719"/>
      <c r="L1719"/>
      <c r="M1719"/>
    </row>
    <row r="1720" spans="1:13" ht="15" x14ac:dyDescent="0.25">
      <c r="A1720"/>
      <c r="B1720"/>
      <c r="C1720"/>
      <c r="D1720"/>
      <c r="E1720"/>
      <c r="F1720"/>
      <c r="G1720"/>
      <c r="H1720"/>
      <c r="I1720"/>
      <c r="J1720"/>
      <c r="K1720"/>
      <c r="L1720"/>
      <c r="M1720"/>
    </row>
    <row r="1721" spans="1:13" ht="15" x14ac:dyDescent="0.25">
      <c r="A1721"/>
      <c r="B1721"/>
      <c r="C1721"/>
      <c r="D1721"/>
      <c r="E1721"/>
      <c r="F1721"/>
      <c r="G1721"/>
      <c r="H1721"/>
      <c r="I1721"/>
      <c r="J1721"/>
      <c r="K1721"/>
      <c r="L1721"/>
      <c r="M1721"/>
    </row>
    <row r="1722" spans="1:13" ht="15" x14ac:dyDescent="0.25">
      <c r="A1722"/>
      <c r="B1722"/>
      <c r="C1722"/>
      <c r="D1722"/>
      <c r="E1722"/>
      <c r="F1722"/>
      <c r="G1722"/>
      <c r="H1722"/>
      <c r="I1722"/>
      <c r="J1722"/>
      <c r="K1722"/>
      <c r="L1722"/>
      <c r="M1722"/>
    </row>
    <row r="1723" spans="1:13" ht="15" x14ac:dyDescent="0.25">
      <c r="A1723"/>
      <c r="B1723"/>
      <c r="C1723"/>
      <c r="D1723"/>
      <c r="E1723"/>
      <c r="F1723"/>
      <c r="G1723"/>
      <c r="H1723"/>
      <c r="I1723"/>
      <c r="J1723"/>
      <c r="K1723"/>
      <c r="L1723"/>
      <c r="M1723"/>
    </row>
    <row r="1724" spans="1:13" ht="15" x14ac:dyDescent="0.25">
      <c r="A1724"/>
      <c r="B1724"/>
      <c r="C1724"/>
      <c r="D1724"/>
      <c r="E1724"/>
      <c r="F1724"/>
      <c r="G1724"/>
      <c r="H1724"/>
      <c r="I1724"/>
      <c r="J1724"/>
      <c r="K1724"/>
      <c r="L1724"/>
      <c r="M1724"/>
    </row>
    <row r="1725" spans="1:13" ht="15" x14ac:dyDescent="0.25">
      <c r="A1725"/>
      <c r="B1725"/>
      <c r="C1725"/>
      <c r="D1725"/>
      <c r="E1725"/>
      <c r="F1725"/>
      <c r="G1725"/>
      <c r="H1725"/>
      <c r="I1725"/>
      <c r="J1725"/>
      <c r="K1725"/>
      <c r="L1725"/>
      <c r="M1725"/>
    </row>
    <row r="1726" spans="1:13" ht="15" x14ac:dyDescent="0.25">
      <c r="A1726"/>
      <c r="B1726"/>
      <c r="C1726"/>
      <c r="D1726"/>
      <c r="E1726"/>
      <c r="F1726"/>
      <c r="G1726"/>
      <c r="H1726"/>
      <c r="I1726"/>
      <c r="J1726"/>
      <c r="K1726"/>
      <c r="L1726"/>
      <c r="M1726"/>
    </row>
    <row r="1727" spans="1:13" ht="15" x14ac:dyDescent="0.25">
      <c r="A1727"/>
      <c r="B1727"/>
      <c r="C1727"/>
      <c r="D1727"/>
      <c r="E1727"/>
      <c r="F1727"/>
      <c r="G1727"/>
      <c r="H1727"/>
      <c r="I1727"/>
      <c r="J1727"/>
      <c r="K1727"/>
      <c r="L1727"/>
      <c r="M1727"/>
    </row>
    <row r="1728" spans="1:13" ht="15" x14ac:dyDescent="0.25">
      <c r="A1728"/>
      <c r="B1728"/>
      <c r="C1728"/>
      <c r="D1728"/>
      <c r="E1728"/>
      <c r="F1728"/>
      <c r="G1728"/>
      <c r="H1728"/>
      <c r="I1728"/>
      <c r="J1728"/>
      <c r="K1728"/>
      <c r="L1728"/>
      <c r="M1728"/>
    </row>
    <row r="1729" spans="1:13" ht="15" x14ac:dyDescent="0.25">
      <c r="A1729"/>
      <c r="B1729"/>
      <c r="C1729"/>
      <c r="D1729"/>
      <c r="E1729"/>
      <c r="F1729"/>
      <c r="G1729"/>
      <c r="H1729"/>
      <c r="I1729"/>
      <c r="J1729"/>
      <c r="K1729"/>
      <c r="L1729"/>
      <c r="M1729"/>
    </row>
    <row r="1730" spans="1:13" ht="15" x14ac:dyDescent="0.25">
      <c r="A1730"/>
      <c r="B1730"/>
      <c r="C1730"/>
      <c r="D1730"/>
      <c r="E1730"/>
      <c r="F1730"/>
      <c r="G1730"/>
      <c r="H1730"/>
      <c r="I1730"/>
      <c r="J1730"/>
      <c r="K1730"/>
      <c r="L1730"/>
      <c r="M1730"/>
    </row>
    <row r="1731" spans="1:13" ht="15" x14ac:dyDescent="0.25">
      <c r="A1731"/>
      <c r="B1731"/>
      <c r="C1731"/>
      <c r="D1731"/>
      <c r="E1731"/>
      <c r="F1731"/>
      <c r="G1731"/>
      <c r="H1731"/>
      <c r="I1731"/>
      <c r="J1731"/>
      <c r="K1731"/>
      <c r="L1731"/>
      <c r="M1731"/>
    </row>
    <row r="1732" spans="1:13" ht="15" x14ac:dyDescent="0.25">
      <c r="A1732"/>
      <c r="B1732"/>
      <c r="C1732"/>
      <c r="D1732"/>
      <c r="E1732"/>
      <c r="F1732"/>
      <c r="G1732"/>
      <c r="H1732"/>
      <c r="I1732"/>
      <c r="J1732"/>
      <c r="K1732"/>
      <c r="L1732"/>
      <c r="M1732"/>
    </row>
    <row r="1733" spans="1:13" ht="15" x14ac:dyDescent="0.25">
      <c r="A1733"/>
      <c r="B1733"/>
      <c r="C1733"/>
      <c r="D1733"/>
      <c r="E1733"/>
      <c r="F1733"/>
      <c r="G1733"/>
      <c r="H1733"/>
      <c r="I1733"/>
      <c r="J1733"/>
      <c r="K1733"/>
      <c r="L1733"/>
      <c r="M1733"/>
    </row>
    <row r="1734" spans="1:13" ht="15" x14ac:dyDescent="0.25">
      <c r="A1734"/>
      <c r="B1734"/>
      <c r="C1734"/>
      <c r="D1734"/>
      <c r="E1734"/>
      <c r="F1734"/>
      <c r="G1734"/>
      <c r="H1734"/>
      <c r="I1734"/>
      <c r="J1734"/>
      <c r="K1734"/>
      <c r="L1734"/>
      <c r="M1734"/>
    </row>
    <row r="1735" spans="1:13" ht="15" x14ac:dyDescent="0.25">
      <c r="A1735"/>
      <c r="B1735"/>
      <c r="C1735"/>
      <c r="D1735"/>
      <c r="E1735"/>
      <c r="F1735"/>
      <c r="G1735"/>
      <c r="H1735"/>
      <c r="I1735"/>
      <c r="J1735"/>
      <c r="K1735"/>
      <c r="L1735"/>
      <c r="M1735"/>
    </row>
    <row r="1736" spans="1:13" ht="15" x14ac:dyDescent="0.25">
      <c r="A1736"/>
      <c r="B1736"/>
      <c r="C1736"/>
      <c r="D1736"/>
      <c r="E1736"/>
      <c r="F1736"/>
      <c r="G1736"/>
      <c r="H1736"/>
      <c r="I1736"/>
      <c r="J1736"/>
      <c r="K1736"/>
      <c r="L1736"/>
      <c r="M1736"/>
    </row>
    <row r="1737" spans="1:13" ht="15" x14ac:dyDescent="0.25">
      <c r="A1737"/>
      <c r="B1737"/>
      <c r="C1737"/>
      <c r="D1737"/>
      <c r="E1737"/>
      <c r="F1737"/>
      <c r="G1737"/>
      <c r="H1737"/>
      <c r="I1737"/>
      <c r="J1737"/>
      <c r="K1737"/>
      <c r="L1737"/>
      <c r="M1737"/>
    </row>
    <row r="1738" spans="1:13" ht="15" x14ac:dyDescent="0.25">
      <c r="A1738"/>
      <c r="B1738"/>
      <c r="C1738"/>
      <c r="D1738"/>
      <c r="E1738"/>
      <c r="F1738"/>
      <c r="G1738"/>
      <c r="H1738"/>
      <c r="I1738"/>
      <c r="J1738"/>
      <c r="K1738"/>
      <c r="L1738"/>
      <c r="M1738"/>
    </row>
    <row r="1739" spans="1:13" ht="15" x14ac:dyDescent="0.25">
      <c r="A1739"/>
      <c r="B1739"/>
      <c r="C1739"/>
      <c r="D1739"/>
      <c r="E1739"/>
      <c r="F1739"/>
      <c r="G1739"/>
      <c r="H1739"/>
      <c r="I1739"/>
      <c r="J1739"/>
      <c r="K1739"/>
      <c r="L1739"/>
      <c r="M1739"/>
    </row>
    <row r="1740" spans="1:13" ht="15" x14ac:dyDescent="0.25">
      <c r="A1740"/>
      <c r="B1740"/>
      <c r="C1740"/>
      <c r="D1740"/>
      <c r="E1740"/>
      <c r="F1740"/>
      <c r="G1740"/>
      <c r="H1740"/>
      <c r="I1740"/>
      <c r="J1740"/>
      <c r="K1740"/>
      <c r="L1740"/>
      <c r="M1740"/>
    </row>
    <row r="1741" spans="1:13" ht="15" x14ac:dyDescent="0.25">
      <c r="A1741"/>
      <c r="B1741"/>
      <c r="C1741"/>
      <c r="D1741"/>
      <c r="E1741"/>
      <c r="F1741"/>
      <c r="G1741"/>
      <c r="H1741"/>
      <c r="I1741"/>
      <c r="J1741"/>
      <c r="K1741"/>
      <c r="L1741"/>
      <c r="M1741"/>
    </row>
    <row r="1742" spans="1:13" ht="15" x14ac:dyDescent="0.25">
      <c r="A1742"/>
      <c r="B1742"/>
      <c r="C1742"/>
      <c r="D1742"/>
      <c r="E1742"/>
      <c r="F1742"/>
      <c r="G1742"/>
      <c r="H1742"/>
      <c r="I1742"/>
      <c r="J1742"/>
      <c r="K1742"/>
      <c r="L1742"/>
      <c r="M1742"/>
    </row>
    <row r="1743" spans="1:13" ht="15" x14ac:dyDescent="0.25">
      <c r="A1743"/>
      <c r="B1743"/>
      <c r="C1743"/>
      <c r="D1743"/>
      <c r="E1743"/>
      <c r="F1743"/>
      <c r="G1743"/>
      <c r="H1743"/>
      <c r="I1743"/>
      <c r="J1743"/>
      <c r="K1743"/>
      <c r="L1743"/>
      <c r="M1743"/>
    </row>
    <row r="1744" spans="1:13" ht="15" x14ac:dyDescent="0.25">
      <c r="A1744"/>
      <c r="B1744"/>
      <c r="C1744"/>
      <c r="D1744"/>
      <c r="E1744"/>
      <c r="F1744"/>
      <c r="G1744"/>
      <c r="H1744"/>
      <c r="I1744"/>
      <c r="J1744"/>
      <c r="K1744"/>
      <c r="L1744"/>
      <c r="M1744"/>
    </row>
    <row r="1745" spans="1:13" ht="15" x14ac:dyDescent="0.25">
      <c r="A1745"/>
      <c r="B1745"/>
      <c r="C1745"/>
      <c r="D1745"/>
      <c r="E1745"/>
      <c r="F1745"/>
      <c r="G1745"/>
      <c r="H1745"/>
      <c r="I1745"/>
      <c r="J1745"/>
      <c r="K1745"/>
      <c r="L1745"/>
      <c r="M1745"/>
    </row>
    <row r="1746" spans="1:13" ht="15" x14ac:dyDescent="0.25">
      <c r="A1746"/>
      <c r="B1746"/>
      <c r="C1746"/>
      <c r="D1746"/>
      <c r="E1746"/>
      <c r="F1746"/>
      <c r="G1746"/>
      <c r="H1746"/>
      <c r="I1746"/>
      <c r="J1746"/>
      <c r="K1746"/>
      <c r="L1746"/>
      <c r="M1746"/>
    </row>
    <row r="1747" spans="1:13" ht="15" x14ac:dyDescent="0.25">
      <c r="A1747"/>
      <c r="B1747"/>
      <c r="C1747"/>
      <c r="D1747"/>
      <c r="E1747"/>
      <c r="F1747"/>
      <c r="G1747"/>
      <c r="H1747"/>
      <c r="I1747"/>
      <c r="J1747"/>
      <c r="K1747"/>
      <c r="L1747"/>
      <c r="M1747"/>
    </row>
    <row r="1748" spans="1:13" ht="15" x14ac:dyDescent="0.25">
      <c r="A1748"/>
      <c r="B1748"/>
      <c r="C1748"/>
      <c r="D1748"/>
      <c r="E1748"/>
      <c r="F1748"/>
      <c r="G1748"/>
      <c r="H1748"/>
      <c r="I1748"/>
      <c r="J1748"/>
      <c r="K1748"/>
      <c r="L1748"/>
      <c r="M1748"/>
    </row>
    <row r="1749" spans="1:13" ht="15" x14ac:dyDescent="0.25">
      <c r="A1749"/>
      <c r="B1749"/>
      <c r="C1749"/>
      <c r="D1749"/>
      <c r="E1749"/>
      <c r="F1749"/>
      <c r="G1749"/>
      <c r="H1749"/>
      <c r="I1749"/>
      <c r="J1749"/>
      <c r="K1749"/>
      <c r="L1749"/>
      <c r="M1749"/>
    </row>
    <row r="1750" spans="1:13" ht="15" x14ac:dyDescent="0.25">
      <c r="A1750"/>
      <c r="B1750"/>
      <c r="C1750"/>
      <c r="D1750"/>
      <c r="E1750"/>
      <c r="F1750"/>
      <c r="G1750"/>
      <c r="H1750"/>
      <c r="I1750"/>
      <c r="J1750"/>
      <c r="K1750"/>
      <c r="L1750"/>
      <c r="M1750"/>
    </row>
    <row r="1751" spans="1:13" ht="15" x14ac:dyDescent="0.25">
      <c r="A1751"/>
      <c r="B1751"/>
      <c r="C1751"/>
      <c r="D1751"/>
      <c r="E1751"/>
      <c r="F1751"/>
      <c r="G1751"/>
      <c r="H1751"/>
      <c r="I1751"/>
      <c r="J1751"/>
      <c r="K1751"/>
      <c r="L1751"/>
      <c r="M1751"/>
    </row>
    <row r="1752" spans="1:13" ht="15" x14ac:dyDescent="0.25">
      <c r="A1752"/>
      <c r="B1752"/>
      <c r="C1752"/>
      <c r="D1752"/>
      <c r="E1752"/>
      <c r="F1752"/>
      <c r="G1752"/>
      <c r="H1752"/>
      <c r="I1752"/>
      <c r="J1752"/>
      <c r="K1752"/>
      <c r="L1752"/>
      <c r="M1752"/>
    </row>
    <row r="1753" spans="1:13" ht="15" x14ac:dyDescent="0.25">
      <c r="A1753"/>
      <c r="B1753"/>
      <c r="C1753"/>
      <c r="D1753"/>
      <c r="E1753"/>
      <c r="F1753"/>
      <c r="G1753"/>
      <c r="H1753"/>
      <c r="I1753"/>
      <c r="J1753"/>
      <c r="K1753"/>
      <c r="L1753"/>
      <c r="M1753"/>
    </row>
    <row r="1754" spans="1:13" ht="15" x14ac:dyDescent="0.25">
      <c r="A1754"/>
      <c r="B1754"/>
      <c r="C1754"/>
      <c r="D1754"/>
      <c r="E1754"/>
      <c r="F1754"/>
      <c r="G1754"/>
      <c r="H1754"/>
      <c r="I1754"/>
      <c r="J1754"/>
      <c r="K1754"/>
      <c r="L1754"/>
      <c r="M1754"/>
    </row>
    <row r="1755" spans="1:13" ht="15" x14ac:dyDescent="0.25">
      <c r="A1755"/>
      <c r="B1755"/>
      <c r="C1755"/>
      <c r="D1755"/>
      <c r="E1755"/>
      <c r="F1755"/>
      <c r="G1755"/>
      <c r="H1755"/>
      <c r="I1755"/>
      <c r="J1755"/>
      <c r="K1755"/>
      <c r="L1755"/>
      <c r="M1755"/>
    </row>
    <row r="1756" spans="1:13" ht="15" x14ac:dyDescent="0.25">
      <c r="A1756"/>
      <c r="B1756"/>
      <c r="C1756"/>
      <c r="D1756"/>
      <c r="E1756"/>
      <c r="F1756"/>
      <c r="G1756"/>
      <c r="H1756"/>
      <c r="I1756"/>
      <c r="J1756"/>
      <c r="K1756"/>
      <c r="L1756"/>
      <c r="M1756"/>
    </row>
    <row r="1757" spans="1:13" ht="15" x14ac:dyDescent="0.25">
      <c r="A1757"/>
      <c r="B1757"/>
      <c r="C1757"/>
      <c r="D1757"/>
      <c r="E1757"/>
      <c r="F1757"/>
      <c r="G1757"/>
      <c r="H1757"/>
      <c r="I1757"/>
      <c r="J1757"/>
      <c r="K1757"/>
      <c r="L1757"/>
      <c r="M1757"/>
    </row>
    <row r="1758" spans="1:13" ht="15" x14ac:dyDescent="0.25">
      <c r="A1758"/>
      <c r="B1758"/>
      <c r="C1758"/>
      <c r="D1758"/>
      <c r="E1758"/>
      <c r="F1758"/>
      <c r="G1758"/>
      <c r="H1758"/>
      <c r="I1758"/>
      <c r="J1758"/>
      <c r="K1758"/>
      <c r="L1758"/>
      <c r="M1758"/>
    </row>
    <row r="1759" spans="1:13" ht="15" x14ac:dyDescent="0.25">
      <c r="A1759"/>
      <c r="B1759"/>
      <c r="C1759"/>
      <c r="D1759"/>
      <c r="E1759"/>
      <c r="F1759"/>
      <c r="G1759"/>
      <c r="H1759"/>
      <c r="I1759"/>
      <c r="J1759"/>
      <c r="K1759"/>
      <c r="L1759"/>
      <c r="M1759"/>
    </row>
    <row r="1760" spans="1:13" ht="15" x14ac:dyDescent="0.25">
      <c r="A1760"/>
      <c r="B1760"/>
      <c r="C1760"/>
      <c r="D1760"/>
      <c r="E1760"/>
      <c r="F1760"/>
      <c r="G1760"/>
      <c r="H1760"/>
      <c r="I1760"/>
      <c r="J1760"/>
      <c r="K1760"/>
      <c r="L1760"/>
      <c r="M1760"/>
    </row>
    <row r="1761" spans="1:13" ht="15" x14ac:dyDescent="0.25">
      <c r="A1761"/>
      <c r="B1761"/>
      <c r="C1761"/>
      <c r="D1761"/>
      <c r="E1761"/>
      <c r="F1761"/>
      <c r="G1761"/>
      <c r="H1761"/>
      <c r="I1761"/>
      <c r="J1761"/>
      <c r="K1761"/>
      <c r="L1761"/>
      <c r="M1761"/>
    </row>
    <row r="1762" spans="1:13" ht="15" x14ac:dyDescent="0.25">
      <c r="A1762"/>
      <c r="B1762"/>
      <c r="C1762"/>
      <c r="D1762"/>
      <c r="E1762"/>
      <c r="F1762"/>
      <c r="G1762"/>
      <c r="H1762"/>
      <c r="I1762"/>
      <c r="J1762"/>
      <c r="K1762"/>
      <c r="L1762"/>
      <c r="M1762"/>
    </row>
    <row r="1763" spans="1:13" ht="15" x14ac:dyDescent="0.25">
      <c r="A1763"/>
      <c r="B1763"/>
      <c r="C1763"/>
      <c r="D1763"/>
      <c r="E1763"/>
      <c r="F1763"/>
      <c r="G1763"/>
      <c r="H1763"/>
      <c r="I1763"/>
      <c r="J1763"/>
      <c r="K1763"/>
      <c r="L1763"/>
      <c r="M1763"/>
    </row>
    <row r="1764" spans="1:13" ht="15" x14ac:dyDescent="0.25">
      <c r="A1764"/>
      <c r="B1764"/>
      <c r="C1764"/>
      <c r="D1764"/>
      <c r="E1764"/>
      <c r="F1764"/>
      <c r="G1764"/>
      <c r="H1764"/>
      <c r="I1764"/>
      <c r="J1764"/>
      <c r="K1764"/>
      <c r="L1764"/>
      <c r="M1764"/>
    </row>
    <row r="1765" spans="1:13" ht="15" x14ac:dyDescent="0.25">
      <c r="A1765"/>
      <c r="B1765"/>
      <c r="C1765"/>
      <c r="D1765"/>
      <c r="E1765"/>
      <c r="F1765"/>
      <c r="G1765"/>
      <c r="H1765"/>
      <c r="I1765"/>
      <c r="J1765"/>
      <c r="K1765"/>
      <c r="L1765"/>
      <c r="M1765"/>
    </row>
    <row r="1766" spans="1:13" ht="15" x14ac:dyDescent="0.25">
      <c r="A1766"/>
      <c r="B1766"/>
      <c r="C1766"/>
      <c r="D1766"/>
      <c r="E1766"/>
      <c r="F1766"/>
      <c r="G1766"/>
      <c r="H1766"/>
      <c r="I1766"/>
      <c r="J1766"/>
      <c r="K1766"/>
      <c r="L1766"/>
      <c r="M1766"/>
    </row>
    <row r="1767" spans="1:13" ht="15" x14ac:dyDescent="0.25">
      <c r="A1767"/>
      <c r="B1767"/>
      <c r="C1767"/>
      <c r="D1767"/>
      <c r="E1767"/>
      <c r="F1767"/>
      <c r="G1767"/>
      <c r="H1767"/>
      <c r="I1767"/>
      <c r="J1767"/>
      <c r="K1767"/>
      <c r="L1767"/>
      <c r="M1767"/>
    </row>
    <row r="1768" spans="1:13" ht="15" x14ac:dyDescent="0.25">
      <c r="A1768"/>
      <c r="B1768"/>
      <c r="C1768"/>
      <c r="D1768"/>
      <c r="E1768"/>
      <c r="F1768"/>
      <c r="G1768"/>
      <c r="H1768"/>
      <c r="I1768"/>
      <c r="J1768"/>
      <c r="K1768"/>
      <c r="L1768"/>
      <c r="M1768"/>
    </row>
    <row r="1769" spans="1:13" ht="15" x14ac:dyDescent="0.25">
      <c r="A1769"/>
      <c r="B1769"/>
      <c r="C1769"/>
      <c r="D1769"/>
      <c r="E1769"/>
      <c r="F1769"/>
      <c r="G1769"/>
      <c r="H1769"/>
      <c r="I1769"/>
      <c r="J1769"/>
      <c r="K1769"/>
      <c r="L1769"/>
      <c r="M1769"/>
    </row>
    <row r="1770" spans="1:13" ht="15" x14ac:dyDescent="0.25">
      <c r="A1770"/>
      <c r="B1770"/>
      <c r="C1770"/>
      <c r="D1770"/>
      <c r="E1770"/>
      <c r="F1770"/>
      <c r="G1770"/>
      <c r="H1770"/>
      <c r="I1770"/>
      <c r="J1770"/>
      <c r="K1770"/>
      <c r="L1770"/>
      <c r="M1770"/>
    </row>
    <row r="1771" spans="1:13" ht="15" x14ac:dyDescent="0.25">
      <c r="A1771"/>
      <c r="B1771"/>
      <c r="C1771"/>
      <c r="D1771"/>
      <c r="E1771"/>
      <c r="F1771"/>
      <c r="G1771"/>
      <c r="H1771"/>
      <c r="I1771"/>
      <c r="J1771"/>
      <c r="K1771"/>
      <c r="L1771"/>
      <c r="M1771"/>
    </row>
    <row r="1772" spans="1:13" ht="15" x14ac:dyDescent="0.25">
      <c r="A1772"/>
      <c r="B1772"/>
      <c r="C1772"/>
      <c r="D1772"/>
      <c r="E1772"/>
      <c r="F1772"/>
      <c r="G1772"/>
      <c r="H1772"/>
      <c r="I1772"/>
      <c r="J1772"/>
      <c r="K1772"/>
      <c r="L1772"/>
      <c r="M1772"/>
    </row>
    <row r="1773" spans="1:13" ht="15" x14ac:dyDescent="0.25">
      <c r="A1773"/>
      <c r="B1773"/>
      <c r="C1773"/>
      <c r="D1773"/>
      <c r="E1773"/>
      <c r="F1773"/>
      <c r="G1773"/>
      <c r="H1773"/>
      <c r="I1773"/>
      <c r="J1773"/>
      <c r="K1773"/>
      <c r="L1773"/>
      <c r="M1773"/>
    </row>
    <row r="1774" spans="1:13" ht="15" x14ac:dyDescent="0.25">
      <c r="A1774"/>
      <c r="B1774"/>
      <c r="C1774"/>
      <c r="D1774"/>
      <c r="E1774"/>
      <c r="F1774"/>
      <c r="G1774"/>
      <c r="H1774"/>
      <c r="I1774"/>
      <c r="J1774"/>
      <c r="K1774"/>
      <c r="L1774"/>
      <c r="M1774"/>
    </row>
    <row r="1775" spans="1:13" ht="15" x14ac:dyDescent="0.25">
      <c r="A1775"/>
      <c r="B1775"/>
      <c r="C1775"/>
      <c r="D1775"/>
      <c r="E1775"/>
      <c r="F1775"/>
      <c r="G1775"/>
      <c r="H1775"/>
      <c r="I1775"/>
      <c r="J1775"/>
      <c r="K1775"/>
      <c r="L1775"/>
      <c r="M1775"/>
    </row>
    <row r="1776" spans="1:13" ht="15" x14ac:dyDescent="0.25">
      <c r="A1776"/>
      <c r="B1776"/>
      <c r="C1776"/>
      <c r="D1776"/>
      <c r="E1776"/>
      <c r="F1776"/>
      <c r="G1776"/>
      <c r="H1776"/>
      <c r="I1776"/>
      <c r="J1776"/>
      <c r="K1776"/>
      <c r="L1776"/>
      <c r="M1776"/>
    </row>
    <row r="1777" spans="1:13" ht="15" x14ac:dyDescent="0.25">
      <c r="A1777"/>
      <c r="B1777"/>
      <c r="C1777"/>
      <c r="D1777"/>
      <c r="E1777"/>
      <c r="F1777"/>
      <c r="G1777"/>
      <c r="H1777"/>
      <c r="I1777"/>
      <c r="J1777"/>
      <c r="K1777"/>
      <c r="L1777"/>
      <c r="M1777"/>
    </row>
    <row r="1778" spans="1:13" ht="15" x14ac:dyDescent="0.25">
      <c r="A1778"/>
      <c r="B1778"/>
      <c r="C1778"/>
      <c r="D1778"/>
      <c r="E1778"/>
      <c r="F1778"/>
      <c r="G1778"/>
      <c r="H1778"/>
      <c r="I1778"/>
      <c r="J1778"/>
      <c r="K1778"/>
      <c r="L1778"/>
      <c r="M1778"/>
    </row>
    <row r="1779" spans="1:13" ht="15" x14ac:dyDescent="0.25">
      <c r="A1779"/>
      <c r="B1779"/>
      <c r="C1779"/>
      <c r="D1779"/>
      <c r="E1779"/>
      <c r="F1779"/>
      <c r="G1779"/>
      <c r="H1779"/>
      <c r="I1779"/>
      <c r="J1779"/>
      <c r="K1779"/>
      <c r="L1779"/>
      <c r="M1779"/>
    </row>
    <row r="1780" spans="1:13" ht="15" x14ac:dyDescent="0.25">
      <c r="A1780"/>
      <c r="B1780"/>
      <c r="C1780"/>
      <c r="D1780"/>
      <c r="E1780"/>
      <c r="F1780"/>
      <c r="G1780"/>
      <c r="H1780"/>
      <c r="I1780"/>
      <c r="J1780"/>
      <c r="K1780"/>
      <c r="L1780"/>
      <c r="M1780"/>
    </row>
    <row r="1781" spans="1:13" ht="15" x14ac:dyDescent="0.25">
      <c r="A1781"/>
      <c r="B1781"/>
      <c r="C1781"/>
      <c r="D1781"/>
      <c r="E1781"/>
      <c r="F1781"/>
      <c r="G1781"/>
      <c r="H1781"/>
      <c r="I1781"/>
      <c r="J1781"/>
      <c r="K1781"/>
      <c r="L1781"/>
      <c r="M1781"/>
    </row>
    <row r="1782" spans="1:13" ht="15" x14ac:dyDescent="0.25">
      <c r="A1782"/>
      <c r="B1782"/>
      <c r="C1782"/>
      <c r="D1782"/>
      <c r="E1782"/>
      <c r="F1782"/>
      <c r="G1782"/>
      <c r="H1782"/>
      <c r="I1782"/>
      <c r="J1782"/>
      <c r="K1782"/>
      <c r="L1782"/>
      <c r="M1782"/>
    </row>
    <row r="1783" spans="1:13" ht="15" x14ac:dyDescent="0.25">
      <c r="A1783"/>
      <c r="B1783"/>
      <c r="C1783"/>
      <c r="D1783"/>
      <c r="E1783"/>
      <c r="F1783"/>
      <c r="G1783"/>
      <c r="H1783"/>
      <c r="I1783"/>
      <c r="J1783"/>
      <c r="K1783"/>
      <c r="L1783"/>
      <c r="M1783"/>
    </row>
    <row r="1784" spans="1:13" ht="15" x14ac:dyDescent="0.25">
      <c r="A1784"/>
      <c r="B1784"/>
      <c r="C1784"/>
      <c r="D1784"/>
      <c r="E1784"/>
      <c r="F1784"/>
      <c r="G1784"/>
      <c r="H1784"/>
      <c r="I1784"/>
      <c r="J1784"/>
      <c r="K1784"/>
      <c r="L1784"/>
      <c r="M1784"/>
    </row>
    <row r="1785" spans="1:13" ht="15" x14ac:dyDescent="0.25">
      <c r="A1785"/>
      <c r="B1785"/>
      <c r="C1785"/>
      <c r="D1785"/>
      <c r="E1785"/>
      <c r="F1785"/>
      <c r="G1785"/>
      <c r="H1785"/>
      <c r="I1785"/>
      <c r="J1785"/>
      <c r="K1785"/>
      <c r="L1785"/>
      <c r="M1785"/>
    </row>
    <row r="1786" spans="1:13" ht="15" x14ac:dyDescent="0.25">
      <c r="A1786"/>
      <c r="B1786"/>
      <c r="C1786"/>
      <c r="D1786"/>
      <c r="E1786"/>
      <c r="F1786"/>
      <c r="G1786"/>
      <c r="H1786"/>
      <c r="I1786"/>
      <c r="J1786"/>
      <c r="K1786"/>
      <c r="L1786"/>
      <c r="M1786"/>
    </row>
    <row r="1787" spans="1:13" ht="15" x14ac:dyDescent="0.25">
      <c r="A1787"/>
      <c r="B1787"/>
      <c r="C1787"/>
      <c r="D1787"/>
      <c r="E1787"/>
      <c r="F1787"/>
      <c r="G1787"/>
      <c r="H1787"/>
      <c r="I1787"/>
      <c r="J1787"/>
      <c r="K1787"/>
      <c r="L1787"/>
      <c r="M1787"/>
    </row>
    <row r="1788" spans="1:13" ht="15" x14ac:dyDescent="0.25">
      <c r="A1788"/>
      <c r="B1788"/>
      <c r="C1788"/>
      <c r="D1788"/>
      <c r="E1788"/>
      <c r="F1788"/>
      <c r="G1788"/>
      <c r="H1788"/>
      <c r="I1788"/>
      <c r="J1788"/>
      <c r="K1788"/>
      <c r="L1788"/>
      <c r="M1788"/>
    </row>
    <row r="1789" spans="1:13" ht="15" x14ac:dyDescent="0.25">
      <c r="A1789"/>
      <c r="B1789"/>
      <c r="C1789"/>
      <c r="D1789"/>
      <c r="E1789"/>
      <c r="F1789"/>
      <c r="G1789"/>
      <c r="H1789"/>
      <c r="I1789"/>
      <c r="J1789"/>
      <c r="K1789"/>
      <c r="L1789"/>
      <c r="M1789"/>
    </row>
    <row r="1790" spans="1:13" ht="15" x14ac:dyDescent="0.25">
      <c r="A1790"/>
      <c r="B1790"/>
      <c r="C1790"/>
      <c r="D1790"/>
      <c r="E1790"/>
      <c r="F1790"/>
      <c r="G1790"/>
      <c r="H1790"/>
      <c r="I1790"/>
      <c r="J1790"/>
      <c r="K1790"/>
      <c r="L1790"/>
      <c r="M1790"/>
    </row>
    <row r="1791" spans="1:13" ht="15" x14ac:dyDescent="0.25">
      <c r="A1791"/>
      <c r="B1791"/>
      <c r="C1791"/>
      <c r="D1791"/>
      <c r="E1791"/>
      <c r="F1791"/>
      <c r="G1791"/>
      <c r="H1791"/>
      <c r="I1791"/>
      <c r="J1791"/>
      <c r="K1791"/>
      <c r="L1791"/>
      <c r="M1791"/>
    </row>
    <row r="1792" spans="1:13" ht="15" x14ac:dyDescent="0.25">
      <c r="A1792"/>
      <c r="B1792"/>
      <c r="C1792"/>
      <c r="D1792"/>
      <c r="E1792"/>
      <c r="F1792"/>
      <c r="G1792"/>
      <c r="H1792"/>
      <c r="I1792"/>
      <c r="J1792"/>
      <c r="K1792"/>
      <c r="L1792"/>
      <c r="M1792"/>
    </row>
    <row r="1793" spans="1:13" ht="15" x14ac:dyDescent="0.25">
      <c r="A1793"/>
      <c r="B1793"/>
      <c r="C1793"/>
      <c r="D1793"/>
      <c r="E1793"/>
      <c r="F1793"/>
      <c r="G1793"/>
      <c r="H1793"/>
      <c r="I1793"/>
      <c r="J1793"/>
      <c r="K1793"/>
      <c r="L1793"/>
      <c r="M1793"/>
    </row>
    <row r="1794" spans="1:13" ht="15" x14ac:dyDescent="0.25">
      <c r="A1794"/>
      <c r="B1794"/>
      <c r="C1794"/>
      <c r="D1794"/>
      <c r="E1794"/>
      <c r="F1794"/>
      <c r="G1794"/>
      <c r="H1794"/>
      <c r="I1794"/>
      <c r="J1794"/>
      <c r="K1794"/>
      <c r="L1794"/>
      <c r="M1794"/>
    </row>
    <row r="1795" spans="1:13" ht="15" x14ac:dyDescent="0.25">
      <c r="A1795"/>
      <c r="B1795"/>
      <c r="C1795"/>
      <c r="D1795"/>
      <c r="E1795"/>
      <c r="F1795"/>
      <c r="G1795"/>
      <c r="H1795"/>
      <c r="I1795"/>
      <c r="J1795"/>
      <c r="K1795"/>
      <c r="L1795"/>
      <c r="M1795"/>
    </row>
    <row r="1796" spans="1:13" ht="15" x14ac:dyDescent="0.25">
      <c r="A1796"/>
      <c r="B1796"/>
      <c r="C1796"/>
      <c r="D1796"/>
      <c r="E1796"/>
      <c r="F1796"/>
      <c r="G1796"/>
      <c r="H1796"/>
      <c r="I1796"/>
      <c r="J1796"/>
      <c r="K1796"/>
      <c r="L1796"/>
      <c r="M1796"/>
    </row>
    <row r="1797" spans="1:13" ht="15" x14ac:dyDescent="0.25">
      <c r="A1797"/>
      <c r="B1797"/>
      <c r="C1797"/>
      <c r="D1797"/>
      <c r="E1797"/>
      <c r="F1797"/>
      <c r="G1797"/>
      <c r="H1797"/>
      <c r="I1797"/>
      <c r="J1797"/>
      <c r="K1797"/>
      <c r="L1797"/>
      <c r="M1797"/>
    </row>
    <row r="1798" spans="1:13" ht="15" x14ac:dyDescent="0.25">
      <c r="A1798"/>
      <c r="B1798"/>
      <c r="C1798"/>
      <c r="D1798"/>
      <c r="E1798"/>
      <c r="F1798"/>
      <c r="G1798"/>
      <c r="H1798"/>
      <c r="I1798"/>
      <c r="J1798"/>
      <c r="K1798"/>
      <c r="L1798"/>
      <c r="M1798"/>
    </row>
    <row r="1799" spans="1:13" ht="15" x14ac:dyDescent="0.25">
      <c r="A1799"/>
      <c r="B1799"/>
      <c r="C1799"/>
      <c r="D1799"/>
      <c r="E1799"/>
      <c r="F1799"/>
      <c r="G1799"/>
      <c r="H1799"/>
      <c r="I1799"/>
      <c r="J1799"/>
      <c r="K1799"/>
      <c r="L1799"/>
      <c r="M1799"/>
    </row>
    <row r="1800" spans="1:13" ht="15" x14ac:dyDescent="0.25">
      <c r="A1800"/>
      <c r="B1800"/>
      <c r="C1800"/>
      <c r="D1800"/>
      <c r="E1800"/>
      <c r="F1800"/>
      <c r="G1800"/>
      <c r="H1800"/>
      <c r="I1800"/>
      <c r="J1800"/>
      <c r="K1800"/>
      <c r="L1800"/>
      <c r="M1800"/>
    </row>
    <row r="1801" spans="1:13" ht="15" x14ac:dyDescent="0.25">
      <c r="A1801"/>
      <c r="B1801"/>
      <c r="C1801"/>
      <c r="D1801"/>
      <c r="E1801"/>
      <c r="F1801"/>
      <c r="G1801"/>
      <c r="H1801"/>
      <c r="I1801"/>
      <c r="J1801"/>
      <c r="K1801"/>
      <c r="L1801"/>
      <c r="M1801"/>
    </row>
    <row r="1802" spans="1:13" ht="15" x14ac:dyDescent="0.25">
      <c r="A1802"/>
      <c r="B1802"/>
      <c r="C1802"/>
      <c r="D1802"/>
      <c r="E1802"/>
      <c r="F1802"/>
      <c r="G1802"/>
      <c r="H1802"/>
      <c r="I1802"/>
      <c r="J1802"/>
      <c r="K1802"/>
      <c r="L1802"/>
      <c r="M1802"/>
    </row>
    <row r="1803" spans="1:13" ht="15" x14ac:dyDescent="0.25">
      <c r="A1803"/>
      <c r="B1803"/>
      <c r="C1803"/>
      <c r="D1803"/>
      <c r="E1803"/>
      <c r="F1803"/>
      <c r="G1803"/>
      <c r="H1803"/>
      <c r="I1803"/>
      <c r="J1803"/>
      <c r="K1803"/>
      <c r="L1803"/>
      <c r="M1803"/>
    </row>
    <row r="1804" spans="1:13" ht="15" x14ac:dyDescent="0.25">
      <c r="A1804"/>
      <c r="B1804"/>
      <c r="C1804"/>
      <c r="D1804"/>
      <c r="E1804"/>
      <c r="F1804"/>
      <c r="G1804"/>
      <c r="H1804"/>
      <c r="I1804"/>
      <c r="J1804"/>
      <c r="K1804"/>
      <c r="L1804"/>
      <c r="M1804"/>
    </row>
    <row r="1805" spans="1:13" ht="15" x14ac:dyDescent="0.25">
      <c r="A1805"/>
      <c r="B1805"/>
      <c r="C1805"/>
      <c r="D1805"/>
      <c r="E1805"/>
      <c r="F1805"/>
      <c r="G1805"/>
      <c r="H1805"/>
      <c r="I1805"/>
      <c r="J1805"/>
      <c r="K1805"/>
      <c r="L1805"/>
      <c r="M1805"/>
    </row>
    <row r="1806" spans="1:13" ht="15" x14ac:dyDescent="0.25">
      <c r="A1806"/>
      <c r="B1806"/>
      <c r="C1806"/>
      <c r="D1806"/>
      <c r="E1806"/>
      <c r="F1806"/>
      <c r="G1806"/>
      <c r="H1806"/>
      <c r="I1806"/>
      <c r="J1806"/>
      <c r="K1806"/>
      <c r="L1806"/>
      <c r="M1806"/>
    </row>
    <row r="1807" spans="1:13" ht="15" x14ac:dyDescent="0.25">
      <c r="A1807"/>
      <c r="B1807"/>
      <c r="C1807"/>
      <c r="D1807"/>
      <c r="E1807"/>
      <c r="F1807"/>
      <c r="G1807"/>
      <c r="H1807"/>
      <c r="I1807"/>
      <c r="J1807"/>
      <c r="K1807"/>
      <c r="L1807"/>
      <c r="M1807"/>
    </row>
    <row r="1808" spans="1:13" ht="15" x14ac:dyDescent="0.25">
      <c r="A1808"/>
      <c r="B1808"/>
      <c r="C1808"/>
      <c r="D1808"/>
      <c r="E1808"/>
      <c r="F1808"/>
      <c r="G1808"/>
      <c r="H1808"/>
      <c r="I1808"/>
      <c r="J1808"/>
      <c r="K1808"/>
      <c r="L1808"/>
      <c r="M1808"/>
    </row>
    <row r="1809" spans="1:13" ht="15" x14ac:dyDescent="0.25">
      <c r="A1809"/>
      <c r="B1809"/>
      <c r="C1809"/>
      <c r="D1809"/>
      <c r="E1809"/>
      <c r="F1809"/>
      <c r="G1809"/>
      <c r="H1809"/>
      <c r="I1809"/>
      <c r="J1809"/>
      <c r="K1809"/>
      <c r="L1809"/>
      <c r="M1809"/>
    </row>
    <row r="1810" spans="1:13" ht="15" x14ac:dyDescent="0.25">
      <c r="A1810"/>
      <c r="B1810"/>
      <c r="C1810"/>
      <c r="D1810"/>
      <c r="E1810"/>
      <c r="F1810"/>
      <c r="G1810"/>
      <c r="H1810"/>
      <c r="I1810"/>
      <c r="J1810"/>
      <c r="K1810"/>
      <c r="L1810"/>
      <c r="M1810"/>
    </row>
    <row r="1811" spans="1:13" ht="15" x14ac:dyDescent="0.25">
      <c r="A1811"/>
      <c r="B1811"/>
      <c r="C1811"/>
      <c r="D1811"/>
      <c r="E1811"/>
      <c r="F1811"/>
      <c r="G1811"/>
      <c r="H1811"/>
      <c r="I1811"/>
      <c r="J1811"/>
      <c r="K1811"/>
      <c r="L1811"/>
      <c r="M1811"/>
    </row>
    <row r="1812" spans="1:13" ht="15" x14ac:dyDescent="0.25">
      <c r="A1812"/>
      <c r="B1812"/>
      <c r="C1812"/>
      <c r="D1812"/>
      <c r="E1812"/>
      <c r="F1812"/>
      <c r="G1812"/>
      <c r="H1812"/>
      <c r="I1812"/>
      <c r="J1812"/>
      <c r="K1812"/>
      <c r="L1812"/>
      <c r="M1812"/>
    </row>
    <row r="1813" spans="1:13" ht="15" x14ac:dyDescent="0.25">
      <c r="A1813"/>
      <c r="B1813"/>
      <c r="C1813"/>
      <c r="D1813"/>
      <c r="E1813"/>
      <c r="F1813"/>
      <c r="G1813"/>
      <c r="H1813"/>
      <c r="I1813"/>
      <c r="J1813"/>
      <c r="K1813"/>
      <c r="L1813"/>
      <c r="M1813"/>
    </row>
    <row r="1814" spans="1:13" ht="15" x14ac:dyDescent="0.25">
      <c r="A1814"/>
      <c r="B1814"/>
      <c r="C1814"/>
      <c r="D1814"/>
      <c r="E1814"/>
      <c r="F1814"/>
      <c r="G1814"/>
      <c r="H1814"/>
      <c r="I1814"/>
      <c r="J1814"/>
      <c r="K1814"/>
      <c r="L1814"/>
      <c r="M1814"/>
    </row>
    <row r="1815" spans="1:13" ht="15" x14ac:dyDescent="0.25">
      <c r="A1815"/>
      <c r="B1815"/>
      <c r="C1815"/>
      <c r="D1815"/>
      <c r="E1815"/>
      <c r="F1815"/>
      <c r="G1815"/>
      <c r="H1815"/>
      <c r="I1815"/>
      <c r="J1815"/>
      <c r="K1815"/>
      <c r="L1815"/>
      <c r="M1815"/>
    </row>
    <row r="1816" spans="1:13" ht="15" x14ac:dyDescent="0.25">
      <c r="A1816"/>
      <c r="B1816"/>
      <c r="C1816"/>
      <c r="D1816"/>
      <c r="E1816"/>
      <c r="F1816"/>
      <c r="G1816"/>
      <c r="H1816"/>
      <c r="I1816"/>
      <c r="J1816"/>
      <c r="K1816"/>
      <c r="L1816"/>
      <c r="M1816"/>
    </row>
    <row r="1817" spans="1:13" ht="15" x14ac:dyDescent="0.25">
      <c r="A1817"/>
      <c r="B1817"/>
      <c r="C1817"/>
      <c r="D1817"/>
      <c r="E1817"/>
      <c r="F1817"/>
      <c r="G1817"/>
      <c r="H1817"/>
      <c r="I1817"/>
      <c r="J1817"/>
      <c r="K1817"/>
      <c r="L1817"/>
      <c r="M1817"/>
    </row>
    <row r="1818" spans="1:13" ht="15" x14ac:dyDescent="0.25">
      <c r="A1818"/>
      <c r="B1818"/>
      <c r="C1818"/>
      <c r="D1818"/>
      <c r="E1818"/>
      <c r="F1818"/>
      <c r="G1818"/>
      <c r="H1818"/>
      <c r="I1818"/>
      <c r="J1818"/>
      <c r="K1818"/>
      <c r="L1818"/>
      <c r="M1818"/>
    </row>
    <row r="1819" spans="1:13" ht="15" x14ac:dyDescent="0.25">
      <c r="A1819"/>
      <c r="B1819"/>
      <c r="C1819"/>
      <c r="D1819"/>
      <c r="E1819"/>
      <c r="F1819"/>
      <c r="G1819"/>
      <c r="H1819"/>
      <c r="I1819"/>
      <c r="J1819"/>
      <c r="K1819"/>
      <c r="L1819"/>
      <c r="M1819"/>
    </row>
    <row r="1820" spans="1:13" ht="15" x14ac:dyDescent="0.25">
      <c r="A1820"/>
      <c r="B1820"/>
      <c r="C1820"/>
      <c r="D1820"/>
      <c r="E1820"/>
      <c r="F1820"/>
      <c r="G1820"/>
      <c r="H1820"/>
      <c r="I1820"/>
      <c r="J1820"/>
      <c r="K1820"/>
      <c r="L1820"/>
      <c r="M1820"/>
    </row>
    <row r="1821" spans="1:13" ht="15" x14ac:dyDescent="0.25">
      <c r="A1821"/>
      <c r="B1821"/>
      <c r="C1821"/>
      <c r="D1821"/>
      <c r="E1821"/>
      <c r="F1821"/>
      <c r="G1821"/>
      <c r="H1821"/>
      <c r="I1821"/>
      <c r="J1821"/>
      <c r="K1821"/>
      <c r="L1821"/>
      <c r="M1821"/>
    </row>
    <row r="1822" spans="1:13" ht="15" x14ac:dyDescent="0.25">
      <c r="A1822"/>
      <c r="B1822"/>
      <c r="C1822"/>
      <c r="D1822"/>
      <c r="E1822"/>
      <c r="F1822"/>
      <c r="G1822"/>
      <c r="H1822"/>
      <c r="I1822"/>
      <c r="J1822"/>
      <c r="K1822"/>
      <c r="L1822"/>
      <c r="M1822"/>
    </row>
    <row r="1823" spans="1:13" ht="15" x14ac:dyDescent="0.25">
      <c r="A1823"/>
      <c r="B1823"/>
      <c r="C1823"/>
      <c r="D1823"/>
      <c r="E1823"/>
      <c r="F1823"/>
      <c r="G1823"/>
      <c r="H1823"/>
      <c r="I1823"/>
      <c r="J1823"/>
      <c r="K1823"/>
      <c r="L1823"/>
      <c r="M1823"/>
    </row>
    <row r="1824" spans="1:13" ht="15" x14ac:dyDescent="0.25">
      <c r="A1824"/>
      <c r="B1824"/>
      <c r="C1824"/>
      <c r="D1824"/>
      <c r="E1824"/>
      <c r="F1824"/>
      <c r="G1824"/>
      <c r="H1824"/>
      <c r="I1824"/>
      <c r="J1824"/>
      <c r="K1824"/>
      <c r="L1824"/>
      <c r="M1824"/>
    </row>
    <row r="1825" spans="1:13" ht="15" x14ac:dyDescent="0.25">
      <c r="A1825"/>
      <c r="B1825"/>
      <c r="C1825"/>
      <c r="D1825"/>
      <c r="E1825"/>
      <c r="F1825"/>
      <c r="G1825"/>
      <c r="H1825"/>
      <c r="I1825"/>
      <c r="J1825"/>
      <c r="K1825"/>
      <c r="L1825"/>
      <c r="M1825"/>
    </row>
    <row r="1826" spans="1:13" ht="15" x14ac:dyDescent="0.25">
      <c r="A1826"/>
      <c r="B1826"/>
      <c r="C1826"/>
      <c r="D1826"/>
      <c r="E1826"/>
      <c r="F1826"/>
      <c r="G1826"/>
      <c r="H1826"/>
      <c r="I1826"/>
      <c r="J1826"/>
      <c r="K1826"/>
      <c r="L1826"/>
      <c r="M1826"/>
    </row>
    <row r="1827" spans="1:13" ht="15" x14ac:dyDescent="0.25">
      <c r="A1827"/>
      <c r="B1827"/>
      <c r="C1827"/>
      <c r="D1827"/>
      <c r="E1827"/>
      <c r="F1827"/>
      <c r="G1827"/>
      <c r="H1827"/>
      <c r="I1827"/>
      <c r="J1827"/>
      <c r="K1827"/>
      <c r="L1827"/>
      <c r="M1827"/>
    </row>
    <row r="1828" spans="1:13" ht="15" x14ac:dyDescent="0.25">
      <c r="A1828"/>
      <c r="B1828"/>
      <c r="C1828"/>
      <c r="D1828"/>
      <c r="E1828"/>
      <c r="F1828"/>
      <c r="G1828"/>
      <c r="H1828"/>
      <c r="I1828"/>
      <c r="J1828"/>
      <c r="K1828"/>
      <c r="L1828"/>
      <c r="M1828"/>
    </row>
    <row r="1829" spans="1:13" ht="15" x14ac:dyDescent="0.25">
      <c r="A1829"/>
      <c r="B1829"/>
      <c r="C1829"/>
      <c r="D1829"/>
      <c r="E1829"/>
      <c r="F1829"/>
      <c r="G1829"/>
      <c r="H1829"/>
      <c r="I1829"/>
      <c r="J1829"/>
      <c r="K1829"/>
      <c r="L1829"/>
      <c r="M1829"/>
    </row>
    <row r="1830" spans="1:13" ht="15" x14ac:dyDescent="0.25">
      <c r="A1830"/>
      <c r="B1830"/>
      <c r="C1830"/>
      <c r="D1830"/>
      <c r="E1830"/>
      <c r="F1830"/>
      <c r="G1830"/>
      <c r="H1830"/>
      <c r="I1830"/>
      <c r="J1830"/>
      <c r="K1830"/>
      <c r="L1830"/>
      <c r="M1830"/>
    </row>
    <row r="1831" spans="1:13" ht="15" x14ac:dyDescent="0.25">
      <c r="A1831"/>
      <c r="B1831"/>
      <c r="C1831"/>
      <c r="D1831"/>
      <c r="E1831"/>
      <c r="F1831"/>
      <c r="G1831"/>
      <c r="H1831"/>
      <c r="I1831"/>
      <c r="J1831"/>
      <c r="K1831"/>
      <c r="L1831"/>
      <c r="M1831"/>
    </row>
    <row r="1832" spans="1:13" ht="15" x14ac:dyDescent="0.25">
      <c r="A1832"/>
      <c r="B1832"/>
      <c r="C1832"/>
      <c r="D1832"/>
      <c r="E1832"/>
      <c r="F1832"/>
      <c r="G1832"/>
      <c r="H1832"/>
      <c r="I1832"/>
      <c r="J1832"/>
      <c r="K1832"/>
      <c r="L1832"/>
      <c r="M1832"/>
    </row>
    <row r="1833" spans="1:13" ht="15" x14ac:dyDescent="0.25">
      <c r="A1833"/>
      <c r="B1833"/>
      <c r="C1833"/>
      <c r="D1833"/>
      <c r="E1833"/>
      <c r="F1833"/>
      <c r="G1833"/>
      <c r="H1833"/>
      <c r="I1833"/>
      <c r="J1833"/>
      <c r="K1833"/>
      <c r="L1833"/>
      <c r="M1833"/>
    </row>
    <row r="1834" spans="1:13" ht="15" x14ac:dyDescent="0.25">
      <c r="A1834"/>
      <c r="B1834"/>
      <c r="C1834"/>
      <c r="D1834"/>
      <c r="E1834"/>
      <c r="F1834"/>
      <c r="G1834"/>
      <c r="H1834"/>
      <c r="I1834"/>
      <c r="J1834"/>
      <c r="K1834"/>
      <c r="L1834"/>
      <c r="M1834"/>
    </row>
    <row r="1835" spans="1:13" ht="15" x14ac:dyDescent="0.25">
      <c r="A1835"/>
      <c r="B1835"/>
      <c r="C1835"/>
      <c r="D1835"/>
      <c r="E1835"/>
      <c r="F1835"/>
      <c r="G1835"/>
      <c r="H1835"/>
      <c r="I1835"/>
      <c r="J1835"/>
      <c r="K1835"/>
      <c r="L1835"/>
      <c r="M1835"/>
    </row>
    <row r="1836" spans="1:13" ht="15" x14ac:dyDescent="0.25">
      <c r="A1836"/>
      <c r="B1836"/>
      <c r="C1836"/>
      <c r="D1836"/>
      <c r="E1836"/>
      <c r="F1836"/>
      <c r="G1836"/>
      <c r="H1836"/>
      <c r="I1836"/>
      <c r="J1836"/>
      <c r="K1836"/>
      <c r="L1836"/>
      <c r="M1836"/>
    </row>
    <row r="1837" spans="1:13" ht="15" x14ac:dyDescent="0.25">
      <c r="A1837"/>
      <c r="B1837"/>
      <c r="C1837"/>
      <c r="D1837"/>
      <c r="E1837"/>
      <c r="F1837"/>
      <c r="G1837"/>
      <c r="H1837"/>
      <c r="I1837"/>
      <c r="J1837"/>
      <c r="K1837"/>
      <c r="L1837"/>
      <c r="M1837"/>
    </row>
    <row r="1838" spans="1:13" ht="15" x14ac:dyDescent="0.25">
      <c r="A1838"/>
      <c r="B1838"/>
      <c r="C1838"/>
      <c r="D1838"/>
      <c r="E1838"/>
      <c r="F1838"/>
      <c r="G1838"/>
      <c r="H1838"/>
      <c r="I1838"/>
      <c r="J1838"/>
      <c r="K1838"/>
      <c r="L1838"/>
      <c r="M1838"/>
    </row>
    <row r="1839" spans="1:13" ht="15" x14ac:dyDescent="0.25">
      <c r="A1839"/>
      <c r="B1839"/>
      <c r="C1839"/>
      <c r="D1839"/>
      <c r="E1839"/>
      <c r="F1839"/>
      <c r="G1839"/>
      <c r="H1839"/>
      <c r="I1839"/>
      <c r="J1839"/>
      <c r="K1839"/>
      <c r="L1839"/>
      <c r="M1839"/>
    </row>
    <row r="1840" spans="1:13" ht="15" x14ac:dyDescent="0.25">
      <c r="A1840"/>
      <c r="B1840"/>
      <c r="C1840"/>
      <c r="D1840"/>
      <c r="E1840"/>
      <c r="F1840"/>
      <c r="G1840"/>
      <c r="H1840"/>
      <c r="I1840"/>
      <c r="J1840"/>
      <c r="K1840"/>
      <c r="L1840"/>
      <c r="M1840"/>
    </row>
    <row r="1841" spans="1:13" ht="15" x14ac:dyDescent="0.25">
      <c r="A1841"/>
      <c r="B1841"/>
      <c r="C1841"/>
      <c r="D1841"/>
      <c r="E1841"/>
      <c r="F1841"/>
      <c r="G1841"/>
      <c r="H1841"/>
      <c r="I1841"/>
      <c r="J1841"/>
      <c r="K1841"/>
      <c r="L1841"/>
      <c r="M1841"/>
    </row>
    <row r="1842" spans="1:13" ht="15" x14ac:dyDescent="0.25">
      <c r="A1842"/>
      <c r="B1842"/>
      <c r="C1842"/>
      <c r="D1842"/>
      <c r="E1842"/>
      <c r="F1842"/>
      <c r="G1842"/>
      <c r="H1842"/>
      <c r="I1842"/>
      <c r="J1842"/>
      <c r="K1842"/>
      <c r="L1842"/>
      <c r="M1842"/>
    </row>
    <row r="1843" spans="1:13" ht="15" x14ac:dyDescent="0.25">
      <c r="A1843"/>
      <c r="B1843"/>
      <c r="C1843"/>
      <c r="D1843"/>
      <c r="E1843"/>
      <c r="F1843"/>
      <c r="G1843"/>
      <c r="H1843"/>
      <c r="I1843"/>
      <c r="J1843"/>
      <c r="K1843"/>
      <c r="L1843"/>
      <c r="M1843"/>
    </row>
    <row r="1844" spans="1:13" ht="15" x14ac:dyDescent="0.25">
      <c r="A1844"/>
      <c r="B1844"/>
      <c r="C1844"/>
      <c r="D1844"/>
      <c r="E1844"/>
      <c r="F1844"/>
      <c r="G1844"/>
      <c r="H1844"/>
      <c r="I1844"/>
      <c r="J1844"/>
      <c r="K1844"/>
      <c r="L1844"/>
      <c r="M1844"/>
    </row>
    <row r="1845" spans="1:13" ht="15" x14ac:dyDescent="0.25">
      <c r="A1845"/>
      <c r="B1845"/>
      <c r="C1845"/>
      <c r="D1845"/>
      <c r="E1845"/>
      <c r="F1845"/>
      <c r="G1845"/>
      <c r="H1845"/>
      <c r="I1845"/>
      <c r="J1845"/>
      <c r="K1845"/>
      <c r="L1845"/>
      <c r="M1845"/>
    </row>
    <row r="1846" spans="1:13" ht="15" x14ac:dyDescent="0.25">
      <c r="A1846"/>
      <c r="B1846"/>
      <c r="C1846"/>
      <c r="D1846"/>
      <c r="E1846"/>
      <c r="F1846"/>
      <c r="G1846"/>
      <c r="H1846"/>
      <c r="I1846"/>
      <c r="J1846"/>
      <c r="K1846"/>
      <c r="L1846"/>
      <c r="M1846"/>
    </row>
    <row r="1847" spans="1:13" ht="15" x14ac:dyDescent="0.25">
      <c r="A1847"/>
      <c r="B1847"/>
      <c r="C1847"/>
      <c r="D1847"/>
      <c r="E1847"/>
      <c r="F1847"/>
      <c r="G1847"/>
      <c r="H1847"/>
      <c r="I1847"/>
      <c r="J1847"/>
      <c r="K1847"/>
      <c r="L1847"/>
      <c r="M1847"/>
    </row>
    <row r="1848" spans="1:13" ht="15" x14ac:dyDescent="0.25">
      <c r="A1848"/>
      <c r="B1848"/>
      <c r="C1848"/>
      <c r="D1848"/>
      <c r="E1848"/>
      <c r="F1848"/>
      <c r="G1848"/>
      <c r="H1848"/>
      <c r="I1848"/>
      <c r="J1848"/>
      <c r="K1848"/>
      <c r="L1848"/>
      <c r="M1848"/>
    </row>
    <row r="1849" spans="1:13" ht="15" x14ac:dyDescent="0.25">
      <c r="A1849"/>
      <c r="B1849"/>
      <c r="C1849"/>
      <c r="D1849"/>
      <c r="E1849"/>
      <c r="F1849"/>
      <c r="G1849"/>
      <c r="H1849"/>
      <c r="I1849"/>
      <c r="J1849"/>
      <c r="K1849"/>
      <c r="L1849"/>
      <c r="M1849"/>
    </row>
    <row r="1850" spans="1:13" ht="15" x14ac:dyDescent="0.25">
      <c r="A1850"/>
      <c r="B1850"/>
      <c r="C1850"/>
      <c r="D1850"/>
      <c r="E1850"/>
      <c r="F1850"/>
      <c r="G1850"/>
      <c r="H1850"/>
      <c r="I1850"/>
      <c r="J1850"/>
      <c r="K1850"/>
      <c r="L1850"/>
      <c r="M1850"/>
    </row>
    <row r="1851" spans="1:13" ht="15" x14ac:dyDescent="0.25">
      <c r="A1851"/>
      <c r="B1851"/>
      <c r="C1851"/>
      <c r="D1851"/>
      <c r="E1851"/>
      <c r="F1851"/>
      <c r="G1851"/>
      <c r="H1851"/>
      <c r="I1851"/>
      <c r="J1851"/>
      <c r="K1851"/>
      <c r="L1851"/>
      <c r="M1851"/>
    </row>
    <row r="1852" spans="1:13" ht="15" x14ac:dyDescent="0.25">
      <c r="A1852"/>
      <c r="B1852"/>
      <c r="C1852"/>
      <c r="D1852"/>
      <c r="E1852"/>
      <c r="F1852"/>
      <c r="G1852"/>
      <c r="H1852"/>
      <c r="I1852"/>
      <c r="J1852"/>
      <c r="K1852"/>
      <c r="L1852"/>
      <c r="M1852"/>
    </row>
    <row r="1853" spans="1:13" ht="15" x14ac:dyDescent="0.25">
      <c r="A1853"/>
      <c r="B1853"/>
      <c r="C1853"/>
      <c r="D1853"/>
      <c r="E1853"/>
      <c r="F1853"/>
      <c r="G1853"/>
      <c r="H1853"/>
      <c r="I1853"/>
      <c r="J1853"/>
      <c r="K1853"/>
      <c r="L1853"/>
      <c r="M1853"/>
    </row>
    <row r="1854" spans="1:13" ht="15" x14ac:dyDescent="0.25">
      <c r="A1854"/>
      <c r="B1854"/>
      <c r="C1854"/>
      <c r="D1854"/>
      <c r="E1854"/>
      <c r="F1854"/>
      <c r="G1854"/>
      <c r="H1854"/>
      <c r="I1854"/>
      <c r="J1854"/>
      <c r="K1854"/>
      <c r="L1854"/>
      <c r="M1854"/>
    </row>
    <row r="1855" spans="1:13" ht="15" x14ac:dyDescent="0.25">
      <c r="A1855"/>
      <c r="B1855"/>
      <c r="C1855"/>
      <c r="D1855"/>
      <c r="E1855"/>
      <c r="F1855"/>
      <c r="G1855"/>
      <c r="H1855"/>
      <c r="I1855"/>
      <c r="J1855"/>
      <c r="K1855"/>
      <c r="L1855"/>
      <c r="M1855"/>
    </row>
    <row r="1856" spans="1:13" ht="15" x14ac:dyDescent="0.25">
      <c r="A1856"/>
      <c r="B1856"/>
      <c r="C1856"/>
      <c r="D1856"/>
      <c r="E1856"/>
      <c r="F1856"/>
      <c r="G1856"/>
      <c r="H1856"/>
      <c r="I1856"/>
      <c r="J1856"/>
      <c r="K1856"/>
      <c r="L1856"/>
      <c r="M1856"/>
    </row>
    <row r="1857" spans="1:13" ht="15" x14ac:dyDescent="0.25">
      <c r="A1857"/>
      <c r="B1857"/>
      <c r="C1857"/>
      <c r="D1857"/>
      <c r="E1857"/>
      <c r="F1857"/>
      <c r="G1857"/>
      <c r="H1857"/>
      <c r="I1857"/>
      <c r="J1857"/>
      <c r="K1857"/>
      <c r="L1857"/>
      <c r="M1857"/>
    </row>
    <row r="1858" spans="1:13" ht="15" x14ac:dyDescent="0.25">
      <c r="A1858"/>
      <c r="B1858"/>
      <c r="C1858"/>
      <c r="D1858"/>
      <c r="E1858"/>
      <c r="F1858"/>
      <c r="G1858"/>
      <c r="H1858"/>
      <c r="I1858"/>
      <c r="J1858"/>
      <c r="K1858"/>
      <c r="L1858"/>
      <c r="M1858"/>
    </row>
    <row r="1859" spans="1:13" ht="15" x14ac:dyDescent="0.25">
      <c r="A1859"/>
      <c r="B1859"/>
      <c r="C1859"/>
      <c r="D1859"/>
      <c r="E1859"/>
      <c r="F1859"/>
      <c r="G1859"/>
      <c r="H1859"/>
      <c r="I1859"/>
      <c r="J1859"/>
      <c r="K1859"/>
      <c r="L1859"/>
      <c r="M1859"/>
    </row>
    <row r="1860" spans="1:13" ht="15" x14ac:dyDescent="0.25">
      <c r="A1860"/>
      <c r="B1860"/>
      <c r="C1860"/>
      <c r="D1860"/>
      <c r="E1860"/>
      <c r="F1860"/>
      <c r="G1860"/>
      <c r="H1860"/>
      <c r="I1860"/>
      <c r="J1860"/>
      <c r="K1860"/>
      <c r="L1860"/>
      <c r="M1860"/>
    </row>
    <row r="1861" spans="1:13" ht="15" x14ac:dyDescent="0.25">
      <c r="A1861"/>
      <c r="B1861"/>
      <c r="C1861"/>
      <c r="D1861"/>
      <c r="E1861"/>
      <c r="F1861"/>
      <c r="G1861"/>
      <c r="H1861"/>
      <c r="I1861"/>
      <c r="J1861"/>
      <c r="K1861"/>
      <c r="L1861"/>
      <c r="M1861"/>
    </row>
    <row r="1862" spans="1:13" ht="15" x14ac:dyDescent="0.25">
      <c r="A1862"/>
      <c r="B1862"/>
      <c r="C1862"/>
      <c r="D1862"/>
      <c r="E1862"/>
      <c r="F1862"/>
      <c r="G1862"/>
      <c r="H1862"/>
      <c r="I1862"/>
      <c r="J1862"/>
      <c r="K1862"/>
      <c r="L1862"/>
      <c r="M1862"/>
    </row>
    <row r="1863" spans="1:13" ht="15" x14ac:dyDescent="0.25">
      <c r="A1863"/>
      <c r="B1863"/>
      <c r="C1863"/>
      <c r="D1863"/>
      <c r="E1863"/>
      <c r="F1863"/>
      <c r="G1863"/>
      <c r="H1863"/>
      <c r="I1863"/>
      <c r="J1863"/>
      <c r="K1863"/>
      <c r="L1863"/>
      <c r="M1863"/>
    </row>
    <row r="1864" spans="1:13" ht="15" x14ac:dyDescent="0.25">
      <c r="A1864"/>
      <c r="B1864"/>
      <c r="C1864"/>
      <c r="D1864"/>
      <c r="E1864"/>
      <c r="F1864"/>
      <c r="G1864"/>
      <c r="H1864"/>
      <c r="I1864"/>
      <c r="J1864"/>
      <c r="K1864"/>
      <c r="L1864"/>
      <c r="M1864"/>
    </row>
    <row r="1865" spans="1:13" ht="15" x14ac:dyDescent="0.25">
      <c r="A1865"/>
      <c r="B1865"/>
      <c r="C1865"/>
      <c r="D1865"/>
      <c r="E1865"/>
      <c r="F1865"/>
      <c r="G1865"/>
      <c r="H1865"/>
      <c r="I1865"/>
      <c r="J1865"/>
      <c r="K1865"/>
      <c r="L1865"/>
      <c r="M1865"/>
    </row>
    <row r="1866" spans="1:13" ht="15" x14ac:dyDescent="0.25">
      <c r="A1866"/>
      <c r="B1866"/>
      <c r="C1866"/>
      <c r="D1866"/>
      <c r="E1866"/>
      <c r="F1866"/>
      <c r="G1866"/>
      <c r="H1866"/>
      <c r="I1866"/>
      <c r="J1866"/>
      <c r="K1866"/>
      <c r="L1866"/>
      <c r="M1866"/>
    </row>
    <row r="1867" spans="1:13" ht="15" x14ac:dyDescent="0.25">
      <c r="A1867"/>
      <c r="B1867"/>
      <c r="C1867"/>
      <c r="D1867"/>
      <c r="E1867"/>
      <c r="F1867"/>
      <c r="G1867"/>
      <c r="H1867"/>
      <c r="I1867"/>
      <c r="J1867"/>
      <c r="K1867"/>
      <c r="L1867"/>
      <c r="M1867"/>
    </row>
    <row r="1868" spans="1:13" ht="15" x14ac:dyDescent="0.25">
      <c r="A1868"/>
      <c r="B1868"/>
      <c r="C1868"/>
      <c r="D1868"/>
      <c r="E1868"/>
      <c r="F1868"/>
      <c r="G1868"/>
      <c r="H1868"/>
      <c r="I1868"/>
      <c r="J1868"/>
      <c r="K1868"/>
      <c r="L1868"/>
      <c r="M1868"/>
    </row>
    <row r="1869" spans="1:13" ht="15" x14ac:dyDescent="0.25">
      <c r="A1869"/>
      <c r="B1869"/>
      <c r="C1869"/>
      <c r="D1869"/>
      <c r="E1869"/>
      <c r="F1869"/>
      <c r="G1869"/>
      <c r="H1869"/>
      <c r="I1869"/>
      <c r="J1869"/>
      <c r="K1869"/>
      <c r="L1869"/>
      <c r="M1869"/>
    </row>
    <row r="1870" spans="1:13" ht="15" x14ac:dyDescent="0.25">
      <c r="A1870"/>
      <c r="B1870"/>
      <c r="C1870"/>
      <c r="D1870"/>
      <c r="E1870"/>
      <c r="F1870"/>
      <c r="G1870"/>
      <c r="H1870"/>
      <c r="I1870"/>
      <c r="J1870"/>
      <c r="K1870"/>
      <c r="L1870"/>
      <c r="M1870"/>
    </row>
    <row r="1871" spans="1:13" ht="15" x14ac:dyDescent="0.25">
      <c r="A1871"/>
      <c r="B1871"/>
      <c r="C1871"/>
      <c r="D1871"/>
      <c r="E1871"/>
      <c r="F1871"/>
      <c r="G1871"/>
      <c r="H1871"/>
      <c r="I1871"/>
      <c r="J1871"/>
      <c r="K1871"/>
      <c r="L1871"/>
      <c r="M1871"/>
    </row>
    <row r="1872" spans="1:13" ht="15" x14ac:dyDescent="0.25">
      <c r="A1872"/>
      <c r="B1872"/>
      <c r="C1872"/>
      <c r="D1872"/>
      <c r="E1872"/>
      <c r="F1872"/>
      <c r="G1872"/>
      <c r="H1872"/>
      <c r="I1872"/>
      <c r="J1872"/>
      <c r="K1872"/>
      <c r="L1872"/>
      <c r="M1872"/>
    </row>
    <row r="1873" spans="1:13" ht="15" x14ac:dyDescent="0.25">
      <c r="A1873"/>
      <c r="B1873"/>
      <c r="C1873"/>
      <c r="D1873"/>
      <c r="E1873"/>
      <c r="F1873"/>
      <c r="G1873"/>
      <c r="H1873"/>
      <c r="I1873"/>
      <c r="J1873"/>
      <c r="K1873"/>
      <c r="L1873"/>
      <c r="M1873"/>
    </row>
    <row r="1874" spans="1:13" ht="15" x14ac:dyDescent="0.25">
      <c r="A1874"/>
      <c r="B1874"/>
      <c r="C1874"/>
      <c r="D1874"/>
      <c r="E1874"/>
      <c r="F1874"/>
      <c r="G1874"/>
      <c r="H1874"/>
      <c r="I1874"/>
      <c r="J1874"/>
      <c r="K1874"/>
      <c r="L1874"/>
      <c r="M1874"/>
    </row>
    <row r="1875" spans="1:13" ht="15" x14ac:dyDescent="0.25">
      <c r="A1875"/>
      <c r="B1875"/>
      <c r="C1875"/>
      <c r="D1875"/>
      <c r="E1875"/>
      <c r="F1875"/>
      <c r="G1875"/>
      <c r="H1875"/>
      <c r="I1875"/>
      <c r="J1875"/>
      <c r="K1875"/>
      <c r="L1875"/>
      <c r="M1875"/>
    </row>
    <row r="1876" spans="1:13" ht="15" x14ac:dyDescent="0.25">
      <c r="A1876"/>
      <c r="B1876"/>
      <c r="C1876"/>
      <c r="D1876"/>
      <c r="E1876"/>
      <c r="F1876"/>
      <c r="G1876"/>
      <c r="H1876"/>
      <c r="I1876"/>
      <c r="J1876"/>
      <c r="K1876"/>
      <c r="L1876"/>
      <c r="M1876"/>
    </row>
    <row r="1877" spans="1:13" ht="15" x14ac:dyDescent="0.25">
      <c r="A1877"/>
      <c r="B1877"/>
      <c r="C1877"/>
      <c r="D1877"/>
      <c r="E1877"/>
      <c r="F1877"/>
      <c r="G1877"/>
      <c r="H1877"/>
      <c r="I1877"/>
      <c r="J1877"/>
      <c r="K1877"/>
      <c r="L1877"/>
      <c r="M1877"/>
    </row>
    <row r="1878" spans="1:13" ht="15" x14ac:dyDescent="0.25">
      <c r="A1878"/>
      <c r="B1878"/>
      <c r="C1878"/>
      <c r="D1878"/>
      <c r="E1878"/>
      <c r="F1878"/>
      <c r="G1878"/>
      <c r="H1878"/>
      <c r="I1878"/>
      <c r="J1878"/>
      <c r="K1878"/>
      <c r="L1878"/>
      <c r="M1878"/>
    </row>
    <row r="1879" spans="1:13" ht="15" x14ac:dyDescent="0.25">
      <c r="A1879"/>
      <c r="B1879"/>
      <c r="C1879"/>
      <c r="D1879"/>
      <c r="E1879"/>
      <c r="F1879"/>
      <c r="G1879"/>
      <c r="H1879"/>
      <c r="I1879"/>
      <c r="J1879"/>
      <c r="K1879"/>
      <c r="L1879"/>
      <c r="M1879"/>
    </row>
    <row r="1880" spans="1:13" ht="15" x14ac:dyDescent="0.25">
      <c r="A1880"/>
      <c r="B1880"/>
      <c r="C1880"/>
      <c r="D1880"/>
      <c r="E1880"/>
      <c r="F1880"/>
      <c r="G1880"/>
      <c r="H1880"/>
      <c r="I1880"/>
      <c r="J1880"/>
      <c r="K1880"/>
      <c r="L1880"/>
      <c r="M1880"/>
    </row>
    <row r="1881" spans="1:13" ht="15" x14ac:dyDescent="0.25">
      <c r="A1881"/>
      <c r="B1881"/>
      <c r="C1881"/>
      <c r="D1881"/>
      <c r="E1881"/>
      <c r="F1881"/>
      <c r="G1881"/>
      <c r="H1881"/>
      <c r="I1881"/>
      <c r="J1881"/>
      <c r="K1881"/>
      <c r="L1881"/>
      <c r="M1881"/>
    </row>
    <row r="1882" spans="1:13" ht="15" x14ac:dyDescent="0.25">
      <c r="A1882"/>
      <c r="B1882"/>
      <c r="C1882"/>
      <c r="D1882"/>
      <c r="E1882"/>
      <c r="F1882"/>
      <c r="G1882"/>
      <c r="H1882"/>
      <c r="I1882"/>
      <c r="J1882"/>
      <c r="K1882"/>
      <c r="L1882"/>
      <c r="M1882"/>
    </row>
    <row r="1883" spans="1:13" ht="15" x14ac:dyDescent="0.25">
      <c r="A1883"/>
      <c r="B1883"/>
      <c r="C1883"/>
      <c r="D1883"/>
      <c r="E1883"/>
      <c r="F1883"/>
      <c r="G1883"/>
      <c r="H1883"/>
      <c r="I1883"/>
      <c r="J1883"/>
      <c r="K1883"/>
      <c r="L1883"/>
      <c r="M1883"/>
    </row>
    <row r="1884" spans="1:13" ht="15" x14ac:dyDescent="0.25">
      <c r="A1884"/>
      <c r="B1884"/>
      <c r="C1884"/>
      <c r="D1884"/>
      <c r="E1884"/>
      <c r="F1884"/>
      <c r="G1884"/>
      <c r="H1884"/>
      <c r="I1884"/>
      <c r="J1884"/>
      <c r="K1884"/>
      <c r="L1884"/>
      <c r="M1884"/>
    </row>
    <row r="1885" spans="1:13" ht="15" x14ac:dyDescent="0.25">
      <c r="A1885"/>
      <c r="B1885"/>
      <c r="C1885"/>
      <c r="D1885"/>
      <c r="E1885"/>
      <c r="F1885"/>
      <c r="G1885"/>
      <c r="H1885"/>
      <c r="I1885"/>
      <c r="J1885"/>
      <c r="K1885"/>
      <c r="L1885"/>
      <c r="M1885"/>
    </row>
    <row r="1886" spans="1:13" ht="15" x14ac:dyDescent="0.25">
      <c r="A1886"/>
      <c r="B1886"/>
      <c r="C1886"/>
      <c r="D1886"/>
      <c r="E1886"/>
      <c r="F1886"/>
      <c r="G1886"/>
      <c r="H1886"/>
      <c r="I1886"/>
      <c r="J1886"/>
      <c r="K1886"/>
      <c r="L1886"/>
      <c r="M1886"/>
    </row>
    <row r="1887" spans="1:13" ht="15" x14ac:dyDescent="0.25">
      <c r="A1887"/>
      <c r="B1887"/>
      <c r="C1887"/>
      <c r="D1887"/>
      <c r="E1887"/>
      <c r="F1887"/>
      <c r="G1887"/>
      <c r="H1887"/>
      <c r="I1887"/>
      <c r="J1887"/>
      <c r="K1887"/>
      <c r="L1887"/>
      <c r="M1887"/>
    </row>
    <row r="1888" spans="1:13" ht="15" x14ac:dyDescent="0.25">
      <c r="A1888"/>
      <c r="B1888"/>
      <c r="C1888"/>
      <c r="D1888"/>
      <c r="E1888"/>
      <c r="F1888"/>
      <c r="G1888"/>
      <c r="H1888"/>
      <c r="I1888"/>
      <c r="J1888"/>
      <c r="K1888"/>
      <c r="L1888"/>
      <c r="M1888"/>
    </row>
    <row r="1889" spans="1:13" ht="15" x14ac:dyDescent="0.25">
      <c r="A1889"/>
      <c r="B1889"/>
      <c r="C1889"/>
      <c r="D1889"/>
      <c r="E1889"/>
      <c r="F1889"/>
      <c r="G1889"/>
      <c r="H1889"/>
      <c r="I1889"/>
      <c r="J1889"/>
      <c r="K1889"/>
      <c r="L1889"/>
      <c r="M1889"/>
    </row>
    <row r="1890" spans="1:13" ht="15" x14ac:dyDescent="0.25">
      <c r="A1890"/>
      <c r="B1890"/>
      <c r="C1890"/>
      <c r="D1890"/>
      <c r="E1890"/>
      <c r="F1890"/>
      <c r="G1890"/>
      <c r="H1890"/>
      <c r="I1890"/>
      <c r="J1890"/>
      <c r="K1890"/>
      <c r="L1890"/>
      <c r="M1890"/>
    </row>
    <row r="1891" spans="1:13" ht="15" x14ac:dyDescent="0.25">
      <c r="A1891"/>
      <c r="B1891"/>
      <c r="C1891"/>
      <c r="D1891"/>
      <c r="E1891"/>
      <c r="F1891"/>
      <c r="G1891"/>
      <c r="H1891"/>
      <c r="I1891"/>
      <c r="J1891"/>
      <c r="K1891"/>
      <c r="L1891"/>
      <c r="M1891"/>
    </row>
    <row r="1892" spans="1:13" ht="15" x14ac:dyDescent="0.25">
      <c r="A1892"/>
      <c r="B1892"/>
      <c r="C1892"/>
      <c r="D1892"/>
      <c r="E1892"/>
      <c r="F1892"/>
      <c r="G1892"/>
      <c r="H1892"/>
      <c r="I1892"/>
      <c r="J1892"/>
      <c r="K1892"/>
      <c r="L1892"/>
      <c r="M1892"/>
    </row>
    <row r="1893" spans="1:13" ht="15" x14ac:dyDescent="0.25">
      <c r="A1893"/>
      <c r="B1893"/>
      <c r="C1893"/>
      <c r="D1893"/>
      <c r="E1893"/>
      <c r="F1893"/>
      <c r="G1893"/>
      <c r="H1893"/>
      <c r="I1893"/>
      <c r="J1893"/>
      <c r="K1893"/>
      <c r="L1893"/>
      <c r="M1893"/>
    </row>
    <row r="1894" spans="1:13" ht="15" x14ac:dyDescent="0.25">
      <c r="A1894"/>
      <c r="B1894"/>
      <c r="C1894"/>
      <c r="D1894"/>
      <c r="E1894"/>
      <c r="F1894"/>
      <c r="G1894"/>
      <c r="H1894"/>
      <c r="I1894"/>
      <c r="J1894"/>
      <c r="K1894"/>
      <c r="L1894"/>
      <c r="M1894"/>
    </row>
    <row r="1895" spans="1:13" ht="15" x14ac:dyDescent="0.25">
      <c r="A1895"/>
      <c r="B1895"/>
      <c r="C1895"/>
      <c r="D1895"/>
      <c r="E1895"/>
      <c r="F1895"/>
      <c r="G1895"/>
      <c r="H1895"/>
      <c r="I1895"/>
      <c r="J1895"/>
      <c r="K1895"/>
      <c r="L1895"/>
      <c r="M1895"/>
    </row>
    <row r="1896" spans="1:13" ht="15" x14ac:dyDescent="0.25">
      <c r="A1896"/>
      <c r="B1896"/>
      <c r="C1896"/>
      <c r="D1896"/>
      <c r="E1896"/>
      <c r="F1896"/>
      <c r="G1896"/>
      <c r="H1896"/>
      <c r="I1896"/>
      <c r="J1896"/>
      <c r="K1896"/>
      <c r="L1896"/>
      <c r="M1896"/>
    </row>
    <row r="1897" spans="1:13" ht="15" x14ac:dyDescent="0.25">
      <c r="A1897"/>
      <c r="B1897"/>
      <c r="C1897"/>
      <c r="D1897"/>
      <c r="E1897"/>
      <c r="F1897"/>
      <c r="G1897"/>
      <c r="H1897"/>
      <c r="I1897"/>
      <c r="J1897"/>
      <c r="K1897"/>
      <c r="L1897"/>
      <c r="M1897"/>
    </row>
    <row r="1898" spans="1:13" ht="15" x14ac:dyDescent="0.25">
      <c r="A1898"/>
      <c r="B1898"/>
      <c r="C1898"/>
      <c r="D1898"/>
      <c r="E1898"/>
      <c r="F1898"/>
      <c r="G1898"/>
      <c r="H1898"/>
      <c r="I1898"/>
      <c r="J1898"/>
      <c r="K1898"/>
      <c r="L1898"/>
      <c r="M1898"/>
    </row>
    <row r="1899" spans="1:13" ht="15" x14ac:dyDescent="0.25">
      <c r="A1899"/>
      <c r="B1899"/>
      <c r="C1899"/>
      <c r="D1899"/>
      <c r="E1899"/>
      <c r="F1899"/>
      <c r="G1899"/>
      <c r="H1899"/>
      <c r="I1899"/>
      <c r="J1899"/>
      <c r="K1899"/>
      <c r="L1899"/>
      <c r="M1899"/>
    </row>
    <row r="1900" spans="1:13" ht="15" x14ac:dyDescent="0.25">
      <c r="A1900"/>
      <c r="B1900"/>
      <c r="C1900"/>
      <c r="D1900"/>
      <c r="E1900"/>
      <c r="F1900"/>
      <c r="G1900"/>
      <c r="H1900"/>
      <c r="I1900"/>
      <c r="J1900"/>
      <c r="K1900"/>
      <c r="L1900"/>
      <c r="M1900"/>
    </row>
    <row r="1901" spans="1:13" ht="15" x14ac:dyDescent="0.25">
      <c r="A1901"/>
      <c r="B1901"/>
      <c r="C1901"/>
      <c r="D1901"/>
      <c r="E1901"/>
      <c r="F1901"/>
      <c r="G1901"/>
      <c r="H1901"/>
      <c r="I1901"/>
      <c r="J1901"/>
      <c r="K1901"/>
      <c r="L1901"/>
      <c r="M1901"/>
    </row>
    <row r="1902" spans="1:13" ht="15" x14ac:dyDescent="0.25">
      <c r="A1902"/>
      <c r="B1902"/>
      <c r="C1902"/>
      <c r="D1902"/>
      <c r="E1902"/>
      <c r="F1902"/>
      <c r="G1902"/>
      <c r="H1902"/>
      <c r="I1902"/>
      <c r="J1902"/>
      <c r="K1902"/>
      <c r="L1902"/>
      <c r="M1902"/>
    </row>
    <row r="1903" spans="1:13" ht="15" x14ac:dyDescent="0.25">
      <c r="A1903"/>
      <c r="B1903"/>
      <c r="C1903"/>
      <c r="D1903"/>
      <c r="E1903"/>
      <c r="F1903"/>
      <c r="G1903"/>
      <c r="H1903"/>
      <c r="I1903"/>
      <c r="J1903"/>
      <c r="K1903"/>
      <c r="L1903"/>
      <c r="M1903"/>
    </row>
    <row r="1904" spans="1:13" ht="15" x14ac:dyDescent="0.25">
      <c r="A1904"/>
      <c r="B1904"/>
      <c r="C1904"/>
      <c r="D1904"/>
      <c r="E1904"/>
      <c r="F1904"/>
      <c r="G1904"/>
      <c r="H1904"/>
      <c r="I1904"/>
      <c r="J1904"/>
      <c r="K1904"/>
      <c r="L1904"/>
      <c r="M1904"/>
    </row>
    <row r="1905" spans="1:13" ht="15" x14ac:dyDescent="0.25">
      <c r="A1905"/>
      <c r="B1905"/>
      <c r="C1905"/>
      <c r="D1905"/>
      <c r="E1905"/>
      <c r="F1905"/>
      <c r="G1905"/>
      <c r="H1905"/>
      <c r="I1905"/>
      <c r="J1905"/>
      <c r="K1905"/>
      <c r="L1905"/>
      <c r="M1905"/>
    </row>
    <row r="1906" spans="1:13" ht="15" x14ac:dyDescent="0.25">
      <c r="A1906"/>
      <c r="B1906"/>
      <c r="C1906"/>
      <c r="D1906"/>
      <c r="E1906"/>
      <c r="F1906"/>
      <c r="G1906"/>
      <c r="H1906"/>
      <c r="I1906"/>
      <c r="J1906"/>
      <c r="K1906"/>
      <c r="L1906"/>
      <c r="M1906"/>
    </row>
    <row r="1907" spans="1:13" ht="15" x14ac:dyDescent="0.25">
      <c r="A1907"/>
      <c r="B1907"/>
      <c r="C1907"/>
      <c r="D1907"/>
      <c r="E1907"/>
      <c r="F1907"/>
      <c r="G1907"/>
      <c r="H1907"/>
      <c r="I1907"/>
      <c r="J1907"/>
      <c r="K1907"/>
      <c r="L1907"/>
      <c r="M1907"/>
    </row>
    <row r="1908" spans="1:13" ht="15" x14ac:dyDescent="0.25">
      <c r="A1908"/>
      <c r="B1908"/>
      <c r="C1908"/>
      <c r="D1908"/>
      <c r="E1908"/>
      <c r="F1908"/>
      <c r="G1908"/>
      <c r="H1908"/>
      <c r="I1908"/>
      <c r="J1908"/>
      <c r="K1908"/>
      <c r="L1908"/>
      <c r="M1908"/>
    </row>
    <row r="1909" spans="1:13" ht="15" x14ac:dyDescent="0.25">
      <c r="A1909"/>
      <c r="B1909"/>
      <c r="C1909"/>
      <c r="D1909"/>
      <c r="E1909"/>
      <c r="F1909"/>
      <c r="G1909"/>
      <c r="H1909"/>
      <c r="I1909"/>
      <c r="J1909"/>
      <c r="K1909"/>
      <c r="L1909"/>
      <c r="M1909"/>
    </row>
    <row r="1910" spans="1:13" ht="15" x14ac:dyDescent="0.25">
      <c r="A1910"/>
      <c r="B1910"/>
      <c r="C1910"/>
      <c r="D1910"/>
      <c r="E1910"/>
      <c r="F1910"/>
      <c r="G1910"/>
      <c r="H1910"/>
      <c r="I1910"/>
      <c r="J1910"/>
      <c r="K1910"/>
      <c r="L1910"/>
      <c r="M1910"/>
    </row>
    <row r="1911" spans="1:13" ht="15" x14ac:dyDescent="0.25">
      <c r="A1911"/>
      <c r="B1911"/>
      <c r="C1911"/>
      <c r="D1911"/>
      <c r="E1911"/>
      <c r="F1911"/>
      <c r="G1911"/>
      <c r="H1911"/>
      <c r="I1911"/>
      <c r="J1911"/>
      <c r="K1911"/>
      <c r="L1911"/>
      <c r="M1911"/>
    </row>
    <row r="1912" spans="1:13" ht="15" x14ac:dyDescent="0.25">
      <c r="A1912"/>
      <c r="B1912"/>
      <c r="C1912"/>
      <c r="D1912"/>
      <c r="E1912"/>
      <c r="F1912"/>
      <c r="G1912"/>
      <c r="H1912"/>
      <c r="I1912"/>
      <c r="J1912"/>
      <c r="K1912"/>
      <c r="L1912"/>
      <c r="M1912"/>
    </row>
    <row r="1913" spans="1:13" ht="15" x14ac:dyDescent="0.25">
      <c r="A1913"/>
      <c r="B1913"/>
      <c r="C1913"/>
      <c r="D1913"/>
      <c r="E1913"/>
      <c r="F1913"/>
      <c r="G1913"/>
      <c r="H1913"/>
      <c r="I1913"/>
      <c r="J1913"/>
      <c r="K1913"/>
      <c r="L1913"/>
      <c r="M1913"/>
    </row>
    <row r="1914" spans="1:13" ht="15" x14ac:dyDescent="0.25">
      <c r="A1914"/>
      <c r="B1914"/>
      <c r="C1914"/>
      <c r="D1914"/>
      <c r="E1914"/>
      <c r="F1914"/>
      <c r="G1914"/>
      <c r="H1914"/>
      <c r="I1914"/>
      <c r="J1914"/>
      <c r="K1914"/>
      <c r="L1914"/>
      <c r="M1914"/>
    </row>
    <row r="1915" spans="1:13" ht="15" x14ac:dyDescent="0.25">
      <c r="A1915"/>
      <c r="B1915"/>
      <c r="C1915"/>
      <c r="D1915"/>
      <c r="E1915"/>
      <c r="F1915"/>
      <c r="G1915"/>
      <c r="H1915"/>
      <c r="I1915"/>
      <c r="J1915"/>
      <c r="K1915"/>
      <c r="L1915"/>
      <c r="M1915"/>
    </row>
    <row r="1916" spans="1:13" ht="15" x14ac:dyDescent="0.25">
      <c r="A1916"/>
      <c r="B1916"/>
      <c r="C1916"/>
      <c r="D1916"/>
      <c r="E1916"/>
      <c r="F1916"/>
      <c r="G1916"/>
      <c r="H1916"/>
      <c r="I1916"/>
      <c r="J1916"/>
      <c r="K1916"/>
      <c r="L1916"/>
      <c r="M1916"/>
    </row>
    <row r="1917" spans="1:13" ht="15" x14ac:dyDescent="0.25">
      <c r="A1917"/>
      <c r="B1917"/>
      <c r="C1917"/>
      <c r="D1917"/>
      <c r="E1917"/>
      <c r="F1917"/>
      <c r="G1917"/>
      <c r="H1917"/>
      <c r="I1917"/>
      <c r="J1917"/>
      <c r="K1917"/>
      <c r="L1917"/>
      <c r="M1917"/>
    </row>
    <row r="1918" spans="1:13" ht="15" x14ac:dyDescent="0.25">
      <c r="A1918"/>
      <c r="B1918"/>
      <c r="C1918"/>
      <c r="D1918"/>
      <c r="E1918"/>
      <c r="F1918"/>
      <c r="G1918"/>
      <c r="H1918"/>
      <c r="I1918"/>
      <c r="J1918"/>
      <c r="K1918"/>
      <c r="L1918"/>
      <c r="M1918"/>
    </row>
    <row r="1919" spans="1:13" ht="15" x14ac:dyDescent="0.25">
      <c r="A1919"/>
      <c r="B1919"/>
      <c r="C1919"/>
      <c r="D1919"/>
      <c r="E1919"/>
      <c r="F1919"/>
      <c r="G1919"/>
      <c r="H1919"/>
      <c r="I1919"/>
      <c r="J1919"/>
      <c r="K1919"/>
      <c r="L1919"/>
      <c r="M1919"/>
    </row>
    <row r="1920" spans="1:13" ht="15" x14ac:dyDescent="0.25">
      <c r="A1920"/>
      <c r="B1920"/>
      <c r="C1920"/>
      <c r="D1920"/>
      <c r="E1920"/>
      <c r="F1920"/>
      <c r="G1920"/>
      <c r="H1920"/>
      <c r="I1920"/>
      <c r="J1920"/>
      <c r="K1920"/>
      <c r="L1920"/>
      <c r="M1920"/>
    </row>
    <row r="1921" spans="1:13" ht="15" x14ac:dyDescent="0.25">
      <c r="A1921"/>
      <c r="B1921"/>
      <c r="C1921"/>
      <c r="D1921"/>
      <c r="E1921"/>
      <c r="F1921"/>
      <c r="G1921"/>
      <c r="H1921"/>
      <c r="I1921"/>
      <c r="J1921"/>
      <c r="K1921"/>
      <c r="L1921"/>
      <c r="M1921"/>
    </row>
    <row r="1922" spans="1:13" ht="15" x14ac:dyDescent="0.25">
      <c r="A1922"/>
      <c r="B1922"/>
      <c r="C1922"/>
      <c r="D1922"/>
      <c r="E1922"/>
      <c r="F1922"/>
      <c r="G1922"/>
      <c r="H1922"/>
      <c r="I1922"/>
      <c r="J1922"/>
      <c r="K1922"/>
      <c r="L1922"/>
      <c r="M1922"/>
    </row>
    <row r="1923" spans="1:13" ht="15" x14ac:dyDescent="0.25">
      <c r="A1923"/>
      <c r="B1923"/>
      <c r="C1923"/>
      <c r="D1923"/>
      <c r="E1923"/>
      <c r="F1923"/>
      <c r="G1923"/>
      <c r="H1923"/>
      <c r="I1923"/>
      <c r="J1923"/>
      <c r="K1923"/>
      <c r="L1923"/>
      <c r="M1923"/>
    </row>
    <row r="1924" spans="1:13" ht="15" x14ac:dyDescent="0.25">
      <c r="A1924"/>
      <c r="B1924"/>
      <c r="C1924"/>
      <c r="D1924"/>
      <c r="E1924"/>
      <c r="F1924"/>
      <c r="G1924"/>
      <c r="H1924"/>
      <c r="I1924"/>
      <c r="J1924"/>
      <c r="K1924"/>
      <c r="L1924"/>
      <c r="M1924"/>
    </row>
    <row r="1925" spans="1:13" ht="15" x14ac:dyDescent="0.25">
      <c r="A1925"/>
      <c r="B1925"/>
      <c r="C1925"/>
      <c r="D1925"/>
      <c r="E1925"/>
      <c r="F1925"/>
      <c r="G1925"/>
      <c r="H1925"/>
      <c r="I1925"/>
      <c r="J1925"/>
      <c r="K1925"/>
      <c r="L1925"/>
      <c r="M1925"/>
    </row>
    <row r="1926" spans="1:13" ht="15" x14ac:dyDescent="0.25">
      <c r="A1926"/>
      <c r="B1926"/>
      <c r="C1926"/>
      <c r="D1926"/>
      <c r="E1926"/>
      <c r="F1926"/>
      <c r="G1926"/>
      <c r="H1926"/>
      <c r="I1926"/>
      <c r="J1926"/>
      <c r="K1926"/>
      <c r="L1926"/>
      <c r="M1926"/>
    </row>
    <row r="1927" spans="1:13" ht="15" x14ac:dyDescent="0.25">
      <c r="A1927"/>
      <c r="B1927"/>
      <c r="C1927"/>
      <c r="D1927"/>
      <c r="E1927"/>
      <c r="F1927"/>
      <c r="G1927"/>
      <c r="H1927"/>
      <c r="I1927"/>
      <c r="J1927"/>
      <c r="K1927"/>
      <c r="L1927"/>
      <c r="M1927"/>
    </row>
    <row r="1928" spans="1:13" ht="15" x14ac:dyDescent="0.25">
      <c r="A1928"/>
      <c r="B1928"/>
      <c r="C1928"/>
      <c r="D1928"/>
      <c r="E1928"/>
      <c r="F1928"/>
      <c r="G1928"/>
      <c r="H1928"/>
      <c r="I1928"/>
      <c r="J1928"/>
      <c r="K1928"/>
      <c r="L1928"/>
      <c r="M1928"/>
    </row>
    <row r="1929" spans="1:13" ht="15" x14ac:dyDescent="0.25">
      <c r="A1929"/>
      <c r="B1929"/>
      <c r="C1929"/>
      <c r="D1929"/>
      <c r="E1929"/>
      <c r="F1929"/>
      <c r="G1929"/>
      <c r="H1929"/>
      <c r="I1929"/>
      <c r="J1929"/>
      <c r="K1929"/>
      <c r="L1929"/>
      <c r="M1929"/>
    </row>
    <row r="1930" spans="1:13" ht="15" x14ac:dyDescent="0.25">
      <c r="A1930"/>
      <c r="B1930"/>
      <c r="C1930"/>
      <c r="D1930"/>
      <c r="E1930"/>
      <c r="F1930"/>
      <c r="G1930"/>
      <c r="H1930"/>
      <c r="I1930"/>
      <c r="J1930"/>
      <c r="K1930"/>
      <c r="L1930"/>
      <c r="M1930"/>
    </row>
    <row r="1931" spans="1:13" ht="15" x14ac:dyDescent="0.25">
      <c r="A1931"/>
      <c r="B1931"/>
      <c r="C1931"/>
      <c r="D1931"/>
      <c r="E1931"/>
      <c r="F1931"/>
      <c r="G1931"/>
      <c r="H1931"/>
      <c r="I1931"/>
      <c r="J1931"/>
      <c r="K1931"/>
      <c r="L1931"/>
      <c r="M1931"/>
    </row>
    <row r="1932" spans="1:13" ht="15" x14ac:dyDescent="0.25">
      <c r="A1932"/>
      <c r="B1932"/>
      <c r="C1932"/>
      <c r="D1932"/>
      <c r="E1932"/>
      <c r="F1932"/>
      <c r="G1932"/>
      <c r="H1932"/>
      <c r="I1932"/>
      <c r="J1932"/>
      <c r="K1932"/>
      <c r="L1932"/>
      <c r="M1932"/>
    </row>
    <row r="1933" spans="1:13" ht="15" x14ac:dyDescent="0.25">
      <c r="A1933"/>
      <c r="B1933"/>
      <c r="C1933"/>
      <c r="D1933"/>
      <c r="E1933"/>
      <c r="F1933"/>
      <c r="G1933"/>
      <c r="H1933"/>
      <c r="I1933"/>
      <c r="J1933"/>
      <c r="K1933"/>
      <c r="L1933"/>
      <c r="M1933"/>
    </row>
    <row r="1934" spans="1:13" ht="15" x14ac:dyDescent="0.25">
      <c r="A1934"/>
      <c r="B1934"/>
      <c r="C1934"/>
      <c r="D1934"/>
      <c r="E1934"/>
      <c r="F1934"/>
      <c r="G1934"/>
      <c r="H1934"/>
      <c r="I1934"/>
      <c r="J1934"/>
      <c r="K1934"/>
      <c r="L1934"/>
      <c r="M1934"/>
    </row>
    <row r="1935" spans="1:13" ht="15" x14ac:dyDescent="0.25">
      <c r="A1935"/>
      <c r="B1935"/>
      <c r="C1935"/>
      <c r="D1935"/>
      <c r="E1935"/>
      <c r="F1935"/>
      <c r="G1935"/>
      <c r="H1935"/>
      <c r="I1935"/>
      <c r="J1935"/>
      <c r="K1935"/>
      <c r="L1935"/>
      <c r="M1935"/>
    </row>
    <row r="1936" spans="1:13" ht="15" x14ac:dyDescent="0.25">
      <c r="A1936"/>
      <c r="B1936"/>
      <c r="C1936"/>
      <c r="D1936"/>
      <c r="E1936"/>
      <c r="F1936"/>
      <c r="G1936"/>
      <c r="H1936"/>
      <c r="I1936"/>
      <c r="J1936"/>
      <c r="K1936"/>
      <c r="L1936"/>
      <c r="M1936"/>
    </row>
    <row r="1937" spans="1:13" ht="15" x14ac:dyDescent="0.25">
      <c r="A1937"/>
      <c r="B1937"/>
      <c r="C1937"/>
      <c r="D1937"/>
      <c r="E1937"/>
      <c r="F1937"/>
      <c r="G1937"/>
      <c r="H1937"/>
      <c r="I1937"/>
      <c r="J1937"/>
      <c r="K1937"/>
      <c r="L1937"/>
      <c r="M1937"/>
    </row>
    <row r="1938" spans="1:13" ht="15" x14ac:dyDescent="0.25">
      <c r="A1938"/>
      <c r="B1938"/>
      <c r="C1938"/>
      <c r="D1938"/>
      <c r="E1938"/>
      <c r="F1938"/>
      <c r="G1938"/>
      <c r="H1938"/>
      <c r="I1938"/>
      <c r="J1938"/>
      <c r="K1938"/>
      <c r="L1938"/>
      <c r="M1938"/>
    </row>
    <row r="1939" spans="1:13" ht="15" x14ac:dyDescent="0.25">
      <c r="A1939"/>
      <c r="B1939"/>
      <c r="C1939"/>
      <c r="D1939"/>
      <c r="E1939"/>
      <c r="F1939"/>
      <c r="G1939"/>
      <c r="H1939"/>
      <c r="I1939"/>
      <c r="J1939"/>
      <c r="K1939"/>
      <c r="L1939"/>
      <c r="M1939"/>
    </row>
    <row r="1940" spans="1:13" ht="15" x14ac:dyDescent="0.25">
      <c r="A1940"/>
      <c r="B1940"/>
      <c r="C1940"/>
      <c r="D1940"/>
      <c r="E1940"/>
      <c r="F1940"/>
      <c r="G1940"/>
      <c r="H1940"/>
      <c r="I1940"/>
      <c r="J1940"/>
      <c r="K1940"/>
      <c r="L1940"/>
      <c r="M1940"/>
    </row>
    <row r="1941" spans="1:13" ht="15" x14ac:dyDescent="0.25">
      <c r="A1941"/>
      <c r="B1941"/>
      <c r="C1941"/>
      <c r="D1941"/>
      <c r="E1941"/>
      <c r="F1941"/>
      <c r="G1941"/>
      <c r="H1941"/>
      <c r="I1941"/>
      <c r="J1941"/>
      <c r="K1941"/>
      <c r="L1941"/>
      <c r="M1941"/>
    </row>
    <row r="1942" spans="1:13" ht="15" x14ac:dyDescent="0.25">
      <c r="A1942"/>
      <c r="B1942"/>
      <c r="C1942"/>
      <c r="D1942"/>
      <c r="E1942"/>
      <c r="F1942"/>
      <c r="G1942"/>
      <c r="H1942"/>
      <c r="I1942"/>
      <c r="J1942"/>
      <c r="K1942"/>
      <c r="L1942"/>
      <c r="M1942"/>
    </row>
    <row r="1943" spans="1:13" ht="15" x14ac:dyDescent="0.25">
      <c r="A1943"/>
      <c r="B1943"/>
      <c r="C1943"/>
      <c r="D1943"/>
      <c r="E1943"/>
      <c r="F1943"/>
      <c r="G1943"/>
      <c r="H1943"/>
      <c r="I1943"/>
      <c r="J1943"/>
      <c r="K1943"/>
      <c r="L1943"/>
      <c r="M1943"/>
    </row>
    <row r="1944" spans="1:13" ht="15" x14ac:dyDescent="0.25">
      <c r="A1944"/>
      <c r="B1944"/>
      <c r="C1944"/>
      <c r="D1944"/>
      <c r="E1944"/>
      <c r="F1944"/>
      <c r="G1944"/>
      <c r="H1944"/>
      <c r="I1944"/>
      <c r="J1944"/>
      <c r="K1944"/>
      <c r="L1944"/>
      <c r="M1944"/>
    </row>
    <row r="1945" spans="1:13" ht="15" x14ac:dyDescent="0.25">
      <c r="A1945"/>
      <c r="B1945"/>
      <c r="C1945"/>
      <c r="D1945"/>
      <c r="E1945"/>
      <c r="F1945"/>
      <c r="G1945"/>
      <c r="H1945"/>
      <c r="I1945"/>
      <c r="J1945"/>
      <c r="K1945"/>
      <c r="L1945"/>
      <c r="M1945"/>
    </row>
    <row r="1946" spans="1:13" ht="15" x14ac:dyDescent="0.25">
      <c r="A1946"/>
      <c r="B1946"/>
      <c r="C1946"/>
      <c r="D1946"/>
      <c r="E1946"/>
      <c r="F1946"/>
      <c r="G1946"/>
      <c r="H1946"/>
      <c r="I1946"/>
      <c r="J1946"/>
      <c r="K1946"/>
      <c r="L1946"/>
      <c r="M1946"/>
    </row>
    <row r="1947" spans="1:13" ht="15" x14ac:dyDescent="0.25">
      <c r="A1947"/>
      <c r="B1947"/>
      <c r="C1947"/>
      <c r="D1947"/>
      <c r="E1947"/>
      <c r="F1947"/>
      <c r="G1947"/>
      <c r="H1947"/>
      <c r="I1947"/>
      <c r="J1947"/>
      <c r="K1947"/>
      <c r="L1947"/>
      <c r="M1947"/>
    </row>
    <row r="1948" spans="1:13" ht="15" x14ac:dyDescent="0.25">
      <c r="A1948"/>
      <c r="B1948"/>
      <c r="C1948"/>
      <c r="D1948"/>
      <c r="E1948"/>
      <c r="F1948"/>
      <c r="G1948"/>
      <c r="H1948"/>
      <c r="I1948"/>
      <c r="J1948"/>
      <c r="K1948"/>
      <c r="L1948"/>
      <c r="M1948"/>
    </row>
    <row r="1949" spans="1:13" ht="15" x14ac:dyDescent="0.25">
      <c r="A1949"/>
      <c r="B1949"/>
      <c r="C1949"/>
      <c r="D1949"/>
      <c r="E1949"/>
      <c r="F1949"/>
      <c r="G1949"/>
      <c r="H1949"/>
      <c r="I1949"/>
      <c r="J1949"/>
      <c r="K1949"/>
      <c r="L1949"/>
      <c r="M1949"/>
    </row>
    <row r="1950" spans="1:13" ht="15" x14ac:dyDescent="0.25">
      <c r="A1950"/>
      <c r="B1950"/>
      <c r="C1950"/>
      <c r="D1950"/>
      <c r="E1950"/>
      <c r="F1950"/>
      <c r="G1950"/>
      <c r="H1950"/>
      <c r="I1950"/>
      <c r="J1950"/>
      <c r="K1950"/>
      <c r="L1950"/>
      <c r="M1950"/>
    </row>
    <row r="1951" spans="1:13" ht="15" x14ac:dyDescent="0.25">
      <c r="A1951"/>
      <c r="B1951"/>
      <c r="C1951"/>
      <c r="D1951"/>
      <c r="E1951"/>
      <c r="F1951"/>
      <c r="G1951"/>
      <c r="H1951"/>
      <c r="I1951"/>
      <c r="J1951"/>
      <c r="K1951"/>
      <c r="L1951"/>
      <c r="M1951"/>
    </row>
    <row r="1952" spans="1:13" ht="15" x14ac:dyDescent="0.25">
      <c r="A1952"/>
      <c r="B1952"/>
      <c r="C1952"/>
      <c r="D1952"/>
      <c r="E1952"/>
      <c r="F1952"/>
      <c r="G1952"/>
      <c r="H1952"/>
      <c r="I1952"/>
      <c r="J1952"/>
      <c r="K1952"/>
      <c r="L1952"/>
      <c r="M1952"/>
    </row>
    <row r="1953" spans="1:13" ht="15" x14ac:dyDescent="0.25">
      <c r="A1953"/>
      <c r="B1953"/>
      <c r="C1953"/>
      <c r="D1953"/>
      <c r="E1953"/>
      <c r="F1953"/>
      <c r="G1953"/>
      <c r="H1953"/>
      <c r="I1953"/>
      <c r="J1953"/>
      <c r="K1953"/>
      <c r="L1953"/>
      <c r="M1953"/>
    </row>
    <row r="1954" spans="1:13" ht="15" x14ac:dyDescent="0.25">
      <c r="A1954"/>
      <c r="B1954"/>
      <c r="C1954"/>
      <c r="D1954"/>
      <c r="E1954"/>
      <c r="F1954"/>
      <c r="G1954"/>
      <c r="H1954"/>
      <c r="I1954"/>
      <c r="J1954"/>
      <c r="K1954"/>
      <c r="L1954"/>
      <c r="M1954"/>
    </row>
    <row r="1955" spans="1:13" ht="15" x14ac:dyDescent="0.25">
      <c r="A1955"/>
      <c r="B1955"/>
      <c r="C1955"/>
      <c r="D1955"/>
      <c r="E1955"/>
      <c r="F1955"/>
      <c r="G1955"/>
      <c r="H1955"/>
      <c r="I1955"/>
      <c r="J1955"/>
      <c r="K1955"/>
      <c r="L1955"/>
      <c r="M1955"/>
    </row>
    <row r="1956" spans="1:13" ht="15" x14ac:dyDescent="0.25">
      <c r="A1956"/>
      <c r="B1956"/>
      <c r="C1956"/>
      <c r="D1956"/>
      <c r="E1956"/>
      <c r="F1956"/>
      <c r="G1956"/>
      <c r="H1956"/>
      <c r="I1956"/>
      <c r="J1956"/>
      <c r="K1956"/>
      <c r="L1956"/>
      <c r="M1956"/>
    </row>
    <row r="1957" spans="1:13" ht="15" x14ac:dyDescent="0.25">
      <c r="A1957"/>
      <c r="B1957"/>
      <c r="C1957"/>
      <c r="D1957"/>
      <c r="E1957"/>
      <c r="F1957"/>
      <c r="G1957"/>
      <c r="H1957"/>
      <c r="I1957"/>
      <c r="J1957"/>
      <c r="K1957"/>
      <c r="L1957"/>
      <c r="M1957"/>
    </row>
    <row r="1958" spans="1:13" ht="15" x14ac:dyDescent="0.25">
      <c r="A1958"/>
      <c r="B1958"/>
      <c r="C1958"/>
      <c r="D1958"/>
      <c r="E1958"/>
      <c r="F1958"/>
      <c r="G1958"/>
      <c r="H1958"/>
      <c r="I1958"/>
      <c r="J1958"/>
      <c r="K1958"/>
      <c r="L1958"/>
      <c r="M1958"/>
    </row>
    <row r="1959" spans="1:13" ht="15" x14ac:dyDescent="0.25">
      <c r="A1959"/>
      <c r="B1959"/>
      <c r="C1959"/>
      <c r="D1959"/>
      <c r="E1959"/>
      <c r="F1959"/>
      <c r="G1959"/>
      <c r="H1959"/>
      <c r="I1959"/>
      <c r="J1959"/>
      <c r="K1959"/>
      <c r="L1959"/>
      <c r="M1959"/>
    </row>
    <row r="1960" spans="1:13" ht="15" x14ac:dyDescent="0.25">
      <c r="A1960"/>
      <c r="B1960"/>
      <c r="C1960"/>
      <c r="D1960"/>
      <c r="E1960"/>
      <c r="F1960"/>
      <c r="G1960"/>
      <c r="H1960"/>
      <c r="I1960"/>
      <c r="J1960"/>
      <c r="K1960"/>
      <c r="L1960"/>
      <c r="M1960"/>
    </row>
    <row r="1961" spans="1:13" ht="15" x14ac:dyDescent="0.25">
      <c r="A1961"/>
      <c r="B1961"/>
      <c r="C1961"/>
      <c r="D1961"/>
      <c r="E1961"/>
      <c r="F1961"/>
      <c r="G1961"/>
      <c r="H1961"/>
      <c r="I1961"/>
      <c r="J1961"/>
      <c r="K1961"/>
      <c r="L1961"/>
      <c r="M1961"/>
    </row>
    <row r="1962" spans="1:13" ht="15" x14ac:dyDescent="0.25">
      <c r="A1962"/>
      <c r="B1962"/>
      <c r="C1962"/>
      <c r="D1962"/>
      <c r="E1962"/>
      <c r="F1962"/>
      <c r="G1962"/>
      <c r="H1962"/>
      <c r="I1962"/>
      <c r="J1962"/>
      <c r="K1962"/>
      <c r="L1962"/>
      <c r="M1962"/>
    </row>
    <row r="1963" spans="1:13" ht="15" x14ac:dyDescent="0.25">
      <c r="A1963"/>
      <c r="B1963"/>
      <c r="C1963"/>
      <c r="D1963"/>
      <c r="E1963"/>
      <c r="F1963"/>
      <c r="G1963"/>
      <c r="H1963"/>
      <c r="I1963"/>
      <c r="J1963"/>
      <c r="K1963"/>
      <c r="L1963"/>
      <c r="M1963"/>
    </row>
    <row r="1964" spans="1:13" ht="15" x14ac:dyDescent="0.25">
      <c r="A1964"/>
      <c r="B1964"/>
      <c r="C1964"/>
      <c r="D1964"/>
      <c r="E1964"/>
      <c r="F1964"/>
      <c r="G1964"/>
      <c r="H1964"/>
      <c r="I1964"/>
      <c r="J1964"/>
      <c r="K1964"/>
      <c r="L1964"/>
      <c r="M1964"/>
    </row>
    <row r="1965" spans="1:13" ht="15" x14ac:dyDescent="0.25">
      <c r="A1965"/>
      <c r="B1965"/>
      <c r="C1965"/>
      <c r="D1965"/>
      <c r="E1965"/>
      <c r="F1965"/>
      <c r="G1965"/>
      <c r="H1965"/>
      <c r="I1965"/>
      <c r="J1965"/>
      <c r="K1965"/>
      <c r="L1965"/>
      <c r="M1965"/>
    </row>
    <row r="1966" spans="1:13" ht="15" x14ac:dyDescent="0.25">
      <c r="A1966"/>
      <c r="B1966"/>
      <c r="C1966"/>
      <c r="D1966"/>
      <c r="E1966"/>
      <c r="F1966"/>
      <c r="G1966"/>
      <c r="H1966"/>
      <c r="I1966"/>
      <c r="J1966"/>
      <c r="K1966"/>
      <c r="L1966"/>
      <c r="M1966"/>
    </row>
    <row r="1967" spans="1:13" ht="15" x14ac:dyDescent="0.25">
      <c r="A1967"/>
      <c r="B1967"/>
      <c r="C1967"/>
      <c r="D1967"/>
      <c r="E1967"/>
      <c r="F1967"/>
      <c r="G1967"/>
      <c r="H1967"/>
      <c r="I1967"/>
      <c r="J1967"/>
      <c r="K1967"/>
      <c r="L1967"/>
      <c r="M1967"/>
    </row>
    <row r="1968" spans="1:13" ht="15" x14ac:dyDescent="0.25">
      <c r="A1968"/>
      <c r="B1968"/>
      <c r="C1968"/>
      <c r="D1968"/>
      <c r="E1968"/>
      <c r="F1968"/>
      <c r="G1968"/>
      <c r="H1968"/>
      <c r="I1968"/>
      <c r="J1968"/>
      <c r="K1968"/>
      <c r="L1968"/>
      <c r="M1968"/>
    </row>
    <row r="1969" spans="1:13" ht="15" x14ac:dyDescent="0.25">
      <c r="A1969"/>
      <c r="B1969"/>
      <c r="C1969"/>
      <c r="D1969"/>
      <c r="E1969"/>
      <c r="F1969"/>
      <c r="G1969"/>
      <c r="H1969"/>
      <c r="I1969"/>
      <c r="J1969"/>
      <c r="K1969"/>
      <c r="L1969"/>
      <c r="M1969"/>
    </row>
    <row r="1970" spans="1:13" ht="15" x14ac:dyDescent="0.25">
      <c r="A1970"/>
      <c r="B1970"/>
      <c r="C1970"/>
      <c r="D1970"/>
      <c r="E1970"/>
      <c r="F1970"/>
      <c r="G1970"/>
      <c r="H1970"/>
      <c r="I1970"/>
      <c r="J1970"/>
      <c r="K1970"/>
      <c r="L1970"/>
      <c r="M1970"/>
    </row>
    <row r="1971" spans="1:13" ht="15" x14ac:dyDescent="0.25">
      <c r="A1971"/>
      <c r="B1971"/>
      <c r="C1971"/>
      <c r="D1971"/>
      <c r="E1971"/>
      <c r="F1971"/>
      <c r="G1971"/>
      <c r="H1971"/>
      <c r="I1971"/>
      <c r="J1971"/>
      <c r="K1971"/>
      <c r="L1971"/>
      <c r="M1971"/>
    </row>
    <row r="1972" spans="1:13" ht="15" x14ac:dyDescent="0.25">
      <c r="A1972"/>
      <c r="B1972"/>
      <c r="C1972"/>
      <c r="D1972"/>
      <c r="E1972"/>
      <c r="F1972"/>
      <c r="G1972"/>
      <c r="H1972"/>
      <c r="I1972"/>
      <c r="J1972"/>
      <c r="K1972"/>
      <c r="L1972"/>
      <c r="M1972"/>
    </row>
    <row r="1973" spans="1:13" ht="15" x14ac:dyDescent="0.25">
      <c r="A1973"/>
      <c r="B1973"/>
      <c r="C1973"/>
      <c r="D1973"/>
      <c r="E1973"/>
      <c r="F1973"/>
      <c r="G1973"/>
      <c r="H1973"/>
      <c r="I1973"/>
      <c r="J1973"/>
      <c r="K1973"/>
      <c r="L1973"/>
      <c r="M1973"/>
    </row>
    <row r="1974" spans="1:13" ht="15" x14ac:dyDescent="0.25">
      <c r="A1974"/>
      <c r="B1974"/>
      <c r="C1974"/>
      <c r="D1974"/>
      <c r="E1974"/>
      <c r="F1974"/>
      <c r="G1974"/>
      <c r="H1974"/>
      <c r="I1974"/>
      <c r="J1974"/>
      <c r="K1974"/>
      <c r="L1974"/>
      <c r="M1974"/>
    </row>
    <row r="1975" spans="1:13" ht="15" x14ac:dyDescent="0.25">
      <c r="A1975"/>
      <c r="B1975"/>
      <c r="C1975"/>
      <c r="D1975"/>
      <c r="E1975"/>
      <c r="F1975"/>
      <c r="G1975"/>
      <c r="H1975"/>
      <c r="I1975"/>
      <c r="J1975"/>
      <c r="K1975"/>
      <c r="L1975"/>
      <c r="M1975"/>
    </row>
    <row r="1976" spans="1:13" ht="15" x14ac:dyDescent="0.25">
      <c r="A1976"/>
      <c r="B1976"/>
      <c r="C1976"/>
      <c r="D1976"/>
      <c r="E1976"/>
      <c r="F1976"/>
      <c r="G1976"/>
      <c r="H1976"/>
      <c r="I1976"/>
      <c r="J1976"/>
      <c r="K1976"/>
      <c r="L1976"/>
      <c r="M1976"/>
    </row>
    <row r="1977" spans="1:13" ht="15" x14ac:dyDescent="0.25">
      <c r="A1977"/>
      <c r="B1977"/>
      <c r="C1977"/>
      <c r="D1977"/>
      <c r="E1977"/>
      <c r="F1977"/>
      <c r="G1977"/>
      <c r="H1977"/>
      <c r="I1977"/>
      <c r="J1977"/>
      <c r="K1977"/>
      <c r="L1977"/>
      <c r="M1977"/>
    </row>
    <row r="1978" spans="1:13" ht="15" x14ac:dyDescent="0.25">
      <c r="A1978"/>
      <c r="B1978"/>
      <c r="C1978"/>
      <c r="D1978"/>
      <c r="E1978"/>
      <c r="F1978"/>
      <c r="G1978"/>
      <c r="H1978"/>
      <c r="I1978"/>
      <c r="J1978"/>
      <c r="K1978"/>
      <c r="L1978"/>
      <c r="M1978"/>
    </row>
    <row r="1979" spans="1:13" ht="15" x14ac:dyDescent="0.25">
      <c r="A1979"/>
      <c r="B1979"/>
      <c r="C1979"/>
      <c r="D1979"/>
      <c r="E1979"/>
      <c r="F1979"/>
      <c r="G1979"/>
      <c r="H1979"/>
      <c r="I1979"/>
      <c r="J1979"/>
      <c r="K1979"/>
      <c r="L1979"/>
      <c r="M1979"/>
    </row>
    <row r="1980" spans="1:13" ht="15" x14ac:dyDescent="0.25">
      <c r="A1980"/>
      <c r="B1980"/>
      <c r="C1980"/>
      <c r="D1980"/>
      <c r="E1980"/>
      <c r="F1980"/>
      <c r="G1980"/>
      <c r="H1980"/>
      <c r="I1980"/>
      <c r="J1980"/>
      <c r="K1980"/>
      <c r="L1980"/>
      <c r="M1980"/>
    </row>
    <row r="1981" spans="1:13" ht="15" x14ac:dyDescent="0.25">
      <c r="A1981"/>
      <c r="B1981"/>
      <c r="C1981"/>
      <c r="D1981"/>
      <c r="E1981"/>
      <c r="F1981"/>
      <c r="G1981"/>
      <c r="H1981"/>
      <c r="I1981"/>
      <c r="J1981"/>
      <c r="K1981"/>
      <c r="L1981"/>
      <c r="M1981"/>
    </row>
    <row r="1982" spans="1:13" ht="15" x14ac:dyDescent="0.25">
      <c r="A1982"/>
      <c r="B1982"/>
      <c r="C1982"/>
      <c r="D1982"/>
      <c r="E1982"/>
      <c r="F1982"/>
      <c r="G1982"/>
      <c r="H1982"/>
      <c r="I1982"/>
      <c r="J1982"/>
      <c r="K1982"/>
      <c r="L1982"/>
      <c r="M1982"/>
    </row>
    <row r="1983" spans="1:13" ht="15" x14ac:dyDescent="0.25">
      <c r="A1983"/>
      <c r="B1983"/>
      <c r="C1983"/>
      <c r="D1983"/>
      <c r="E1983"/>
      <c r="F1983"/>
      <c r="G1983"/>
      <c r="H1983"/>
      <c r="I1983"/>
      <c r="J1983"/>
      <c r="K1983"/>
      <c r="L1983"/>
      <c r="M1983"/>
    </row>
    <row r="1984" spans="1:13" ht="15" x14ac:dyDescent="0.25">
      <c r="A1984"/>
      <c r="B1984"/>
      <c r="C1984"/>
      <c r="D1984"/>
      <c r="E1984"/>
      <c r="F1984"/>
      <c r="G1984"/>
      <c r="H1984"/>
      <c r="I1984"/>
      <c r="J1984"/>
      <c r="K1984"/>
      <c r="L1984"/>
      <c r="M1984"/>
    </row>
    <row r="1985" spans="1:13" ht="15" x14ac:dyDescent="0.25">
      <c r="A1985"/>
      <c r="B1985"/>
      <c r="C1985"/>
      <c r="D1985"/>
      <c r="E1985"/>
      <c r="F1985"/>
      <c r="G1985"/>
      <c r="H1985"/>
      <c r="I1985"/>
      <c r="J1985"/>
      <c r="K1985"/>
      <c r="L1985"/>
      <c r="M1985"/>
    </row>
    <row r="1986" spans="1:13" ht="15" x14ac:dyDescent="0.25">
      <c r="A1986"/>
      <c r="B1986"/>
      <c r="C1986"/>
      <c r="D1986"/>
      <c r="E1986"/>
      <c r="F1986"/>
      <c r="G1986"/>
      <c r="H1986"/>
      <c r="I1986"/>
      <c r="J1986"/>
      <c r="K1986"/>
      <c r="L1986"/>
      <c r="M1986"/>
    </row>
    <row r="1987" spans="1:13" ht="15" x14ac:dyDescent="0.25">
      <c r="A1987"/>
      <c r="B1987"/>
      <c r="C1987"/>
      <c r="D1987"/>
      <c r="E1987"/>
      <c r="F1987"/>
      <c r="G1987"/>
      <c r="H1987"/>
      <c r="I1987"/>
      <c r="J1987"/>
      <c r="K1987"/>
      <c r="L1987"/>
      <c r="M1987"/>
    </row>
    <row r="1988" spans="1:13" ht="15" x14ac:dyDescent="0.25">
      <c r="A1988"/>
      <c r="B1988"/>
      <c r="C1988"/>
      <c r="D1988"/>
      <c r="E1988"/>
      <c r="F1988"/>
      <c r="G1988"/>
      <c r="H1988"/>
      <c r="I1988"/>
      <c r="J1988"/>
      <c r="K1988"/>
      <c r="L1988"/>
      <c r="M1988"/>
    </row>
    <row r="1989" spans="1:13" ht="15" x14ac:dyDescent="0.25">
      <c r="A1989"/>
      <c r="B1989"/>
      <c r="C1989"/>
      <c r="D1989"/>
      <c r="E1989"/>
      <c r="F1989"/>
      <c r="G1989"/>
      <c r="H1989"/>
      <c r="I1989"/>
      <c r="J1989"/>
      <c r="K1989"/>
      <c r="L1989"/>
      <c r="M1989"/>
    </row>
    <row r="1990" spans="1:13" ht="15" x14ac:dyDescent="0.25">
      <c r="A1990"/>
      <c r="B1990"/>
      <c r="C1990"/>
      <c r="D1990"/>
      <c r="E1990"/>
      <c r="F1990"/>
      <c r="G1990"/>
      <c r="H1990"/>
      <c r="I1990"/>
      <c r="J1990"/>
      <c r="K1990"/>
      <c r="L1990"/>
      <c r="M1990"/>
    </row>
    <row r="1991" spans="1:13" ht="15" x14ac:dyDescent="0.25">
      <c r="A1991"/>
      <c r="B1991"/>
      <c r="C1991"/>
      <c r="D1991"/>
      <c r="E1991"/>
      <c r="F1991"/>
      <c r="G1991"/>
      <c r="H1991"/>
      <c r="I1991"/>
      <c r="J1991"/>
      <c r="K1991"/>
      <c r="L1991"/>
      <c r="M1991"/>
    </row>
    <row r="1992" spans="1:13" ht="15" x14ac:dyDescent="0.25">
      <c r="A1992"/>
      <c r="B1992"/>
      <c r="C1992"/>
      <c r="D1992"/>
      <c r="E1992"/>
      <c r="F1992"/>
      <c r="G1992"/>
      <c r="H1992"/>
      <c r="I1992"/>
      <c r="J1992"/>
      <c r="K1992"/>
      <c r="L1992"/>
      <c r="M1992"/>
    </row>
    <row r="1993" spans="1:13" ht="15" x14ac:dyDescent="0.25">
      <c r="A1993"/>
      <c r="B1993"/>
      <c r="C1993"/>
      <c r="D1993"/>
      <c r="E1993"/>
      <c r="F1993"/>
      <c r="G1993"/>
      <c r="H1993"/>
      <c r="I1993"/>
      <c r="J1993"/>
      <c r="K1993"/>
      <c r="L1993"/>
      <c r="M1993"/>
    </row>
    <row r="1994" spans="1:13" ht="15" x14ac:dyDescent="0.25">
      <c r="A1994"/>
      <c r="B1994"/>
      <c r="C1994"/>
      <c r="D1994"/>
      <c r="E1994"/>
      <c r="F1994"/>
      <c r="G1994"/>
      <c r="H1994"/>
      <c r="I1994"/>
      <c r="J1994"/>
      <c r="K1994"/>
      <c r="L1994"/>
      <c r="M1994"/>
    </row>
    <row r="1995" spans="1:13" ht="15" x14ac:dyDescent="0.25">
      <c r="A1995"/>
      <c r="B1995"/>
      <c r="C1995"/>
      <c r="D1995"/>
      <c r="E1995"/>
      <c r="F1995"/>
      <c r="G1995"/>
      <c r="H1995"/>
      <c r="I1995"/>
      <c r="J1995"/>
      <c r="K1995"/>
      <c r="L1995"/>
      <c r="M1995"/>
    </row>
    <row r="1996" spans="1:13" ht="15" x14ac:dyDescent="0.25">
      <c r="A1996"/>
      <c r="B1996"/>
      <c r="C1996"/>
      <c r="D1996"/>
      <c r="E1996"/>
      <c r="F1996"/>
      <c r="G1996"/>
      <c r="H1996"/>
      <c r="I1996"/>
      <c r="J1996"/>
      <c r="K1996"/>
      <c r="L1996"/>
      <c r="M1996"/>
    </row>
    <row r="1997" spans="1:13" ht="15" x14ac:dyDescent="0.25">
      <c r="A1997"/>
      <c r="B1997"/>
      <c r="C1997"/>
      <c r="D1997"/>
      <c r="E1997"/>
      <c r="F1997"/>
      <c r="G1997"/>
      <c r="H1997"/>
      <c r="I1997"/>
      <c r="J1997"/>
      <c r="K1997"/>
      <c r="L1997"/>
      <c r="M1997"/>
    </row>
    <row r="1998" spans="1:13" ht="15" x14ac:dyDescent="0.25">
      <c r="A1998"/>
      <c r="B1998"/>
      <c r="C1998"/>
      <c r="D1998"/>
      <c r="E1998"/>
      <c r="F1998"/>
      <c r="G1998"/>
      <c r="H1998"/>
      <c r="I1998"/>
      <c r="J1998"/>
      <c r="K1998"/>
      <c r="L1998"/>
      <c r="M1998"/>
    </row>
    <row r="1999" spans="1:13" ht="15" x14ac:dyDescent="0.25">
      <c r="A1999"/>
      <c r="B1999"/>
      <c r="C1999"/>
      <c r="D1999"/>
      <c r="E1999"/>
      <c r="F1999"/>
      <c r="G1999"/>
      <c r="H1999"/>
      <c r="I1999"/>
      <c r="J1999"/>
      <c r="K1999"/>
      <c r="L1999"/>
      <c r="M1999"/>
    </row>
    <row r="2000" spans="1:13" ht="15" x14ac:dyDescent="0.25">
      <c r="A2000"/>
      <c r="B2000"/>
      <c r="C2000"/>
      <c r="D2000"/>
      <c r="E2000"/>
      <c r="F2000"/>
      <c r="G2000"/>
      <c r="H2000"/>
      <c r="I2000"/>
      <c r="J2000"/>
      <c r="K2000"/>
      <c r="L2000"/>
      <c r="M2000"/>
    </row>
    <row r="2001" spans="1:13" ht="15" x14ac:dyDescent="0.25">
      <c r="A2001"/>
      <c r="B2001"/>
      <c r="C2001"/>
      <c r="D2001"/>
      <c r="E2001"/>
      <c r="F2001"/>
      <c r="G2001"/>
      <c r="H2001"/>
      <c r="I2001"/>
      <c r="J2001"/>
      <c r="K2001"/>
      <c r="L2001"/>
      <c r="M2001"/>
    </row>
    <row r="2002" spans="1:13" ht="15" x14ac:dyDescent="0.25">
      <c r="A2002"/>
      <c r="B2002"/>
      <c r="C2002"/>
      <c r="D2002"/>
      <c r="E2002"/>
      <c r="F2002"/>
      <c r="G2002"/>
      <c r="H2002"/>
      <c r="I2002"/>
      <c r="J2002"/>
      <c r="K2002"/>
      <c r="L2002"/>
      <c r="M2002"/>
    </row>
    <row r="2003" spans="1:13" ht="15" x14ac:dyDescent="0.25">
      <c r="A2003"/>
      <c r="B2003"/>
      <c r="C2003"/>
      <c r="D2003"/>
      <c r="E2003"/>
      <c r="F2003"/>
      <c r="G2003"/>
      <c r="H2003"/>
      <c r="I2003"/>
      <c r="J2003"/>
      <c r="K2003"/>
      <c r="L2003"/>
      <c r="M2003"/>
    </row>
    <row r="2004" spans="1:13" ht="15" x14ac:dyDescent="0.25">
      <c r="A2004"/>
      <c r="B2004"/>
      <c r="C2004"/>
      <c r="D2004"/>
      <c r="E2004"/>
      <c r="F2004"/>
      <c r="G2004"/>
      <c r="H2004"/>
      <c r="I2004"/>
      <c r="J2004"/>
      <c r="K2004"/>
      <c r="L2004"/>
      <c r="M2004"/>
    </row>
    <row r="2005" spans="1:13" ht="15" x14ac:dyDescent="0.25">
      <c r="A2005"/>
      <c r="B2005"/>
      <c r="C2005"/>
      <c r="D2005"/>
      <c r="E2005"/>
      <c r="F2005"/>
      <c r="G2005"/>
      <c r="H2005"/>
      <c r="I2005"/>
      <c r="J2005"/>
      <c r="K2005"/>
      <c r="L2005"/>
      <c r="M2005"/>
    </row>
    <row r="2006" spans="1:13" ht="15" x14ac:dyDescent="0.25">
      <c r="A2006"/>
      <c r="B2006"/>
      <c r="C2006"/>
      <c r="D2006"/>
      <c r="E2006"/>
      <c r="F2006"/>
      <c r="G2006"/>
      <c r="H2006"/>
      <c r="I2006"/>
      <c r="J2006"/>
      <c r="K2006"/>
      <c r="L2006"/>
      <c r="M2006"/>
    </row>
    <row r="2007" spans="1:13" ht="15" x14ac:dyDescent="0.25">
      <c r="A2007"/>
      <c r="B2007"/>
      <c r="C2007"/>
      <c r="D2007"/>
      <c r="E2007"/>
      <c r="F2007"/>
      <c r="G2007"/>
      <c r="H2007"/>
      <c r="I2007"/>
      <c r="J2007"/>
      <c r="K2007"/>
      <c r="L2007"/>
      <c r="M2007"/>
    </row>
    <row r="2008" spans="1:13" ht="15" x14ac:dyDescent="0.25">
      <c r="A2008"/>
      <c r="B2008"/>
      <c r="C2008"/>
      <c r="D2008"/>
      <c r="E2008"/>
      <c r="F2008"/>
      <c r="G2008"/>
      <c r="H2008"/>
      <c r="I2008"/>
      <c r="J2008"/>
      <c r="K2008"/>
      <c r="L2008"/>
      <c r="M2008"/>
    </row>
    <row r="2009" spans="1:13" ht="15" x14ac:dyDescent="0.25">
      <c r="A2009"/>
      <c r="B2009"/>
      <c r="C2009"/>
      <c r="D2009"/>
      <c r="E2009"/>
      <c r="F2009"/>
      <c r="G2009"/>
      <c r="H2009"/>
      <c r="I2009"/>
      <c r="J2009"/>
      <c r="K2009"/>
      <c r="L2009"/>
      <c r="M2009"/>
    </row>
    <row r="2010" spans="1:13" ht="15" x14ac:dyDescent="0.25">
      <c r="A2010"/>
      <c r="B2010"/>
      <c r="C2010"/>
      <c r="D2010"/>
      <c r="E2010"/>
      <c r="F2010"/>
      <c r="G2010"/>
      <c r="H2010"/>
      <c r="I2010"/>
      <c r="J2010"/>
      <c r="K2010"/>
      <c r="L2010"/>
      <c r="M2010"/>
    </row>
    <row r="2011" spans="1:13" ht="15" x14ac:dyDescent="0.25">
      <c r="A2011"/>
      <c r="B2011"/>
      <c r="C2011"/>
      <c r="D2011"/>
      <c r="E2011"/>
      <c r="F2011"/>
      <c r="G2011"/>
      <c r="H2011"/>
      <c r="I2011"/>
      <c r="J2011"/>
    </row>
    <row r="2012" spans="1:13" ht="15" x14ac:dyDescent="0.25">
      <c r="A2012"/>
      <c r="B2012"/>
      <c r="C2012"/>
      <c r="D2012"/>
      <c r="E2012"/>
      <c r="F2012"/>
      <c r="G2012"/>
      <c r="H2012"/>
      <c r="I2012"/>
      <c r="J2012"/>
    </row>
    <row r="2013" spans="1:13" ht="15" x14ac:dyDescent="0.25">
      <c r="A2013"/>
      <c r="B2013"/>
      <c r="C2013"/>
      <c r="D2013"/>
      <c r="E2013"/>
      <c r="F2013"/>
      <c r="G2013"/>
      <c r="H2013"/>
      <c r="I2013"/>
      <c r="J2013"/>
    </row>
    <row r="2014" spans="1:13" ht="15" x14ac:dyDescent="0.25">
      <c r="A2014"/>
      <c r="B2014"/>
      <c r="C2014"/>
      <c r="D2014"/>
      <c r="E2014"/>
      <c r="F2014"/>
      <c r="G2014"/>
      <c r="H2014"/>
      <c r="I2014"/>
      <c r="J2014"/>
    </row>
    <row r="2015" spans="1:13" ht="15" x14ac:dyDescent="0.25">
      <c r="A2015"/>
      <c r="B2015"/>
      <c r="C2015"/>
      <c r="D2015"/>
      <c r="E2015"/>
      <c r="F2015"/>
      <c r="G2015"/>
      <c r="H2015"/>
      <c r="I2015"/>
      <c r="J2015"/>
    </row>
    <row r="2016" spans="1:13" ht="15" x14ac:dyDescent="0.25">
      <c r="A2016"/>
      <c r="B2016"/>
      <c r="C2016"/>
      <c r="D2016"/>
      <c r="E2016"/>
      <c r="F2016"/>
      <c r="G2016"/>
      <c r="H2016"/>
      <c r="I2016"/>
      <c r="J2016"/>
    </row>
    <row r="2017" spans="1:10" ht="15" x14ac:dyDescent="0.25">
      <c r="A2017"/>
      <c r="B2017"/>
      <c r="C2017"/>
      <c r="D2017"/>
      <c r="E2017"/>
      <c r="F2017"/>
      <c r="G2017"/>
      <c r="H2017"/>
      <c r="I2017"/>
      <c r="J2017"/>
    </row>
    <row r="2018" spans="1:10" ht="15" x14ac:dyDescent="0.25">
      <c r="A2018"/>
      <c r="B2018"/>
      <c r="C2018"/>
      <c r="D2018"/>
      <c r="E2018"/>
      <c r="F2018"/>
      <c r="G2018"/>
      <c r="H2018"/>
      <c r="I2018"/>
      <c r="J2018"/>
    </row>
    <row r="2019" spans="1:10" ht="15" x14ac:dyDescent="0.25">
      <c r="A2019"/>
      <c r="B2019"/>
      <c r="C2019"/>
      <c r="D2019"/>
      <c r="E2019"/>
      <c r="F2019"/>
      <c r="G2019"/>
      <c r="H2019"/>
      <c r="I2019"/>
      <c r="J2019"/>
    </row>
    <row r="2020" spans="1:10" ht="15" x14ac:dyDescent="0.25">
      <c r="A2020"/>
      <c r="B2020"/>
      <c r="C2020"/>
      <c r="D2020"/>
      <c r="E2020"/>
      <c r="F2020"/>
      <c r="G2020"/>
      <c r="H2020"/>
      <c r="I2020"/>
      <c r="J2020"/>
    </row>
    <row r="2021" spans="1:10" ht="15" x14ac:dyDescent="0.25">
      <c r="A2021"/>
      <c r="B2021"/>
      <c r="C2021"/>
      <c r="D2021"/>
      <c r="E2021"/>
      <c r="F2021"/>
      <c r="G2021"/>
      <c r="H2021"/>
      <c r="I2021"/>
      <c r="J2021"/>
    </row>
    <row r="2022" spans="1:10" ht="15" x14ac:dyDescent="0.25">
      <c r="A2022"/>
      <c r="B2022"/>
      <c r="C2022"/>
      <c r="D2022"/>
      <c r="E2022"/>
      <c r="F2022"/>
      <c r="G2022"/>
      <c r="H2022"/>
      <c r="I2022"/>
      <c r="J2022"/>
    </row>
    <row r="2023" spans="1:10" ht="15" x14ac:dyDescent="0.25">
      <c r="A2023"/>
      <c r="B2023"/>
      <c r="C2023"/>
      <c r="D2023"/>
      <c r="E2023"/>
      <c r="F2023"/>
      <c r="G2023"/>
      <c r="H2023"/>
      <c r="I2023"/>
      <c r="J2023"/>
    </row>
    <row r="2024" spans="1:10" ht="15" x14ac:dyDescent="0.25">
      <c r="A2024"/>
      <c r="B2024"/>
      <c r="C2024"/>
      <c r="D2024"/>
      <c r="E2024"/>
      <c r="F2024"/>
      <c r="G2024"/>
      <c r="H2024"/>
      <c r="I2024"/>
      <c r="J2024"/>
    </row>
    <row r="2025" spans="1:10" ht="15" x14ac:dyDescent="0.25">
      <c r="A2025"/>
      <c r="B2025"/>
      <c r="C2025"/>
      <c r="D2025"/>
      <c r="E2025"/>
      <c r="F2025"/>
      <c r="G2025"/>
      <c r="H2025"/>
      <c r="I2025"/>
      <c r="J2025"/>
    </row>
    <row r="2026" spans="1:10" ht="15" x14ac:dyDescent="0.25">
      <c r="A2026"/>
      <c r="B2026"/>
      <c r="C2026"/>
      <c r="D2026"/>
      <c r="E2026"/>
      <c r="F2026"/>
      <c r="G2026"/>
      <c r="H2026"/>
      <c r="I2026"/>
      <c r="J2026"/>
    </row>
    <row r="2027" spans="1:10" ht="15" x14ac:dyDescent="0.25">
      <c r="A2027"/>
      <c r="B2027"/>
      <c r="C2027"/>
      <c r="D2027"/>
      <c r="E2027"/>
      <c r="F2027"/>
      <c r="G2027"/>
      <c r="H2027"/>
      <c r="I2027"/>
      <c r="J2027"/>
    </row>
    <row r="2028" spans="1:10" ht="15" x14ac:dyDescent="0.25">
      <c r="A2028"/>
      <c r="B2028"/>
      <c r="C2028"/>
      <c r="D2028"/>
      <c r="E2028"/>
      <c r="F2028"/>
      <c r="G2028"/>
      <c r="H2028"/>
      <c r="I2028"/>
      <c r="J2028"/>
    </row>
    <row r="2029" spans="1:10" ht="15" x14ac:dyDescent="0.25">
      <c r="A2029"/>
      <c r="B2029"/>
      <c r="C2029"/>
      <c r="D2029"/>
      <c r="E2029"/>
      <c r="F2029"/>
      <c r="G2029"/>
      <c r="H2029"/>
      <c r="I2029"/>
      <c r="J2029"/>
    </row>
    <row r="2030" spans="1:10" ht="15" x14ac:dyDescent="0.25">
      <c r="A2030"/>
      <c r="B2030"/>
      <c r="C2030"/>
      <c r="D2030"/>
      <c r="E2030"/>
      <c r="F2030"/>
      <c r="G2030"/>
      <c r="H2030"/>
      <c r="I2030"/>
      <c r="J2030"/>
    </row>
    <row r="2031" spans="1:10" ht="15" x14ac:dyDescent="0.25">
      <c r="A2031"/>
      <c r="B2031"/>
      <c r="C2031"/>
      <c r="D2031"/>
      <c r="E2031"/>
      <c r="F2031"/>
      <c r="G2031"/>
      <c r="H2031"/>
      <c r="I2031"/>
      <c r="J2031"/>
    </row>
    <row r="2032" spans="1:10" ht="15" x14ac:dyDescent="0.25">
      <c r="A2032"/>
      <c r="B2032"/>
      <c r="C2032"/>
      <c r="D2032"/>
      <c r="E2032"/>
      <c r="F2032"/>
      <c r="G2032"/>
      <c r="H2032"/>
      <c r="I2032"/>
      <c r="J2032"/>
    </row>
    <row r="2033" spans="1:10" ht="15" x14ac:dyDescent="0.25">
      <c r="A2033"/>
      <c r="B2033"/>
      <c r="C2033"/>
      <c r="D2033"/>
      <c r="E2033"/>
      <c r="F2033"/>
      <c r="G2033"/>
      <c r="H2033"/>
      <c r="I2033"/>
      <c r="J2033"/>
    </row>
    <row r="2034" spans="1:10" ht="15" x14ac:dyDescent="0.25">
      <c r="A2034"/>
      <c r="B2034"/>
      <c r="C2034"/>
      <c r="D2034"/>
      <c r="E2034"/>
      <c r="F2034"/>
      <c r="G2034"/>
      <c r="H2034"/>
      <c r="I2034"/>
      <c r="J2034"/>
    </row>
    <row r="2035" spans="1:10" ht="15" x14ac:dyDescent="0.25">
      <c r="A2035"/>
      <c r="B2035"/>
      <c r="C2035"/>
      <c r="D2035"/>
      <c r="E2035"/>
      <c r="F2035"/>
      <c r="G2035"/>
      <c r="H2035"/>
      <c r="I2035"/>
      <c r="J2035"/>
    </row>
    <row r="2036" spans="1:10" ht="15" x14ac:dyDescent="0.25">
      <c r="A2036"/>
      <c r="B2036"/>
      <c r="C2036"/>
      <c r="D2036"/>
      <c r="E2036"/>
      <c r="F2036"/>
      <c r="G2036"/>
      <c r="H2036"/>
      <c r="I2036"/>
      <c r="J2036"/>
    </row>
    <row r="2037" spans="1:10" ht="15" x14ac:dyDescent="0.25">
      <c r="A2037"/>
      <c r="B2037"/>
      <c r="C2037"/>
      <c r="D2037"/>
      <c r="E2037"/>
      <c r="F2037"/>
      <c r="G2037"/>
      <c r="H2037"/>
      <c r="I2037"/>
      <c r="J2037"/>
    </row>
    <row r="2038" spans="1:10" ht="15" x14ac:dyDescent="0.25">
      <c r="A2038"/>
      <c r="B2038"/>
      <c r="C2038"/>
      <c r="D2038"/>
      <c r="E2038"/>
      <c r="F2038"/>
      <c r="G2038"/>
      <c r="H2038"/>
      <c r="I2038"/>
      <c r="J2038"/>
    </row>
    <row r="2039" spans="1:10" ht="15" x14ac:dyDescent="0.25">
      <c r="A2039"/>
      <c r="B2039"/>
      <c r="C2039"/>
      <c r="D2039"/>
      <c r="E2039"/>
      <c r="F2039"/>
      <c r="G2039"/>
      <c r="H2039"/>
      <c r="I2039"/>
      <c r="J2039"/>
    </row>
    <row r="2040" spans="1:10" ht="15" x14ac:dyDescent="0.25">
      <c r="A2040"/>
      <c r="B2040"/>
      <c r="C2040"/>
      <c r="D2040"/>
      <c r="E2040"/>
      <c r="F2040"/>
      <c r="G2040"/>
      <c r="H2040"/>
      <c r="I2040"/>
      <c r="J2040"/>
    </row>
    <row r="2041" spans="1:10" ht="15" x14ac:dyDescent="0.25">
      <c r="A2041"/>
      <c r="B2041"/>
      <c r="C2041"/>
      <c r="D2041"/>
      <c r="E2041"/>
      <c r="F2041"/>
      <c r="G2041"/>
      <c r="H2041"/>
      <c r="I2041"/>
      <c r="J2041"/>
    </row>
    <row r="2042" spans="1:10" ht="15" x14ac:dyDescent="0.25">
      <c r="A2042"/>
      <c r="B2042"/>
      <c r="C2042"/>
      <c r="D2042"/>
      <c r="E2042"/>
      <c r="F2042"/>
      <c r="G2042"/>
      <c r="H2042"/>
      <c r="I2042"/>
      <c r="J2042"/>
    </row>
    <row r="2043" spans="1:10" ht="15" x14ac:dyDescent="0.25">
      <c r="A2043"/>
      <c r="B2043"/>
      <c r="C2043"/>
      <c r="D2043"/>
      <c r="E2043"/>
      <c r="F2043"/>
      <c r="G2043"/>
      <c r="H2043"/>
      <c r="I2043"/>
      <c r="J2043"/>
    </row>
    <row r="2044" spans="1:10" ht="15" x14ac:dyDescent="0.25">
      <c r="A2044"/>
      <c r="B2044"/>
      <c r="C2044"/>
      <c r="D2044"/>
      <c r="E2044"/>
      <c r="F2044"/>
      <c r="G2044"/>
      <c r="H2044"/>
      <c r="I2044"/>
      <c r="J2044"/>
    </row>
    <row r="2045" spans="1:10" ht="15" x14ac:dyDescent="0.25">
      <c r="A2045"/>
      <c r="B2045"/>
      <c r="C2045"/>
      <c r="D2045"/>
      <c r="E2045"/>
      <c r="F2045"/>
      <c r="G2045"/>
      <c r="H2045"/>
      <c r="I2045"/>
      <c r="J2045"/>
    </row>
    <row r="2046" spans="1:10" ht="15" x14ac:dyDescent="0.25">
      <c r="A2046"/>
      <c r="B2046"/>
      <c r="C2046"/>
      <c r="D2046"/>
      <c r="E2046"/>
      <c r="F2046"/>
      <c r="G2046"/>
      <c r="H2046"/>
      <c r="I2046"/>
      <c r="J2046"/>
    </row>
    <row r="2047" spans="1:10" ht="15" x14ac:dyDescent="0.25">
      <c r="A2047"/>
      <c r="B2047"/>
      <c r="C2047"/>
      <c r="D2047"/>
      <c r="E2047"/>
      <c r="F2047"/>
      <c r="G2047"/>
      <c r="H2047"/>
      <c r="I2047"/>
      <c r="J2047"/>
    </row>
    <row r="2048" spans="1:10" ht="15" x14ac:dyDescent="0.25">
      <c r="A2048"/>
      <c r="B2048"/>
      <c r="C2048"/>
      <c r="D2048"/>
      <c r="E2048"/>
      <c r="F2048"/>
      <c r="G2048"/>
      <c r="H2048"/>
      <c r="I2048"/>
      <c r="J2048"/>
    </row>
    <row r="2049" spans="1:10" ht="15" x14ac:dyDescent="0.25">
      <c r="A2049"/>
      <c r="B2049"/>
      <c r="C2049"/>
      <c r="D2049"/>
      <c r="E2049"/>
      <c r="F2049"/>
      <c r="G2049"/>
      <c r="H2049"/>
      <c r="I2049"/>
      <c r="J2049"/>
    </row>
    <row r="2050" spans="1:10" ht="15" x14ac:dyDescent="0.25">
      <c r="A2050"/>
      <c r="B2050"/>
      <c r="C2050"/>
      <c r="D2050"/>
      <c r="E2050"/>
      <c r="F2050"/>
      <c r="G2050"/>
      <c r="H2050"/>
      <c r="I2050"/>
      <c r="J2050"/>
    </row>
    <row r="2051" spans="1:10" ht="15" x14ac:dyDescent="0.25">
      <c r="A2051"/>
      <c r="B2051"/>
      <c r="C2051"/>
      <c r="D2051"/>
      <c r="E2051"/>
      <c r="F2051"/>
      <c r="G2051"/>
      <c r="H2051"/>
      <c r="I2051"/>
      <c r="J2051"/>
    </row>
    <row r="2052" spans="1:10" ht="15" x14ac:dyDescent="0.25">
      <c r="A2052"/>
      <c r="B2052"/>
      <c r="C2052"/>
      <c r="D2052"/>
      <c r="E2052"/>
      <c r="F2052"/>
      <c r="G2052"/>
      <c r="H2052"/>
      <c r="I2052"/>
      <c r="J2052"/>
    </row>
    <row r="2053" spans="1:10" ht="15" x14ac:dyDescent="0.25">
      <c r="A2053"/>
      <c r="B2053"/>
      <c r="C2053"/>
      <c r="D2053"/>
      <c r="E2053"/>
      <c r="F2053"/>
      <c r="G2053"/>
      <c r="H2053"/>
      <c r="I2053"/>
      <c r="J2053"/>
    </row>
    <row r="2054" spans="1:10" ht="15" x14ac:dyDescent="0.25">
      <c r="A2054"/>
      <c r="B2054"/>
      <c r="C2054"/>
      <c r="D2054"/>
      <c r="E2054"/>
      <c r="F2054"/>
      <c r="G2054"/>
      <c r="H2054"/>
      <c r="I2054"/>
      <c r="J2054"/>
    </row>
    <row r="2055" spans="1:10" ht="15" x14ac:dyDescent="0.25">
      <c r="A2055"/>
      <c r="B2055"/>
      <c r="C2055"/>
      <c r="D2055"/>
      <c r="E2055"/>
      <c r="F2055"/>
      <c r="G2055"/>
      <c r="H2055"/>
      <c r="I2055"/>
      <c r="J2055"/>
    </row>
    <row r="2056" spans="1:10" ht="15" x14ac:dyDescent="0.25">
      <c r="A2056"/>
      <c r="B2056"/>
      <c r="C2056"/>
      <c r="D2056"/>
      <c r="E2056"/>
      <c r="F2056"/>
      <c r="G2056"/>
      <c r="H2056"/>
      <c r="I2056"/>
      <c r="J2056"/>
    </row>
    <row r="2057" spans="1:10" ht="15" x14ac:dyDescent="0.25">
      <c r="A2057"/>
      <c r="B2057"/>
      <c r="C2057"/>
      <c r="D2057"/>
      <c r="E2057"/>
      <c r="F2057"/>
      <c r="G2057"/>
      <c r="H2057"/>
      <c r="I2057"/>
      <c r="J2057"/>
    </row>
    <row r="2058" spans="1:10" ht="15" x14ac:dyDescent="0.25">
      <c r="A2058"/>
      <c r="B2058"/>
      <c r="C2058"/>
      <c r="D2058"/>
      <c r="E2058"/>
      <c r="F2058"/>
      <c r="G2058"/>
      <c r="H2058"/>
      <c r="I2058"/>
      <c r="J2058"/>
    </row>
    <row r="2059" spans="1:10" ht="15" x14ac:dyDescent="0.25">
      <c r="A2059"/>
      <c r="B2059"/>
      <c r="C2059"/>
      <c r="D2059"/>
      <c r="E2059"/>
      <c r="F2059"/>
      <c r="G2059"/>
      <c r="H2059"/>
      <c r="I2059"/>
      <c r="J2059"/>
    </row>
    <row r="2060" spans="1:10" ht="15" x14ac:dyDescent="0.25">
      <c r="A2060"/>
      <c r="B2060"/>
      <c r="C2060"/>
      <c r="D2060"/>
      <c r="E2060"/>
      <c r="F2060"/>
      <c r="G2060"/>
      <c r="H2060"/>
      <c r="I2060"/>
      <c r="J2060"/>
    </row>
    <row r="2061" spans="1:10" ht="15" x14ac:dyDescent="0.25">
      <c r="A2061"/>
      <c r="B2061"/>
      <c r="C2061"/>
      <c r="D2061"/>
      <c r="E2061"/>
      <c r="F2061"/>
      <c r="G2061"/>
      <c r="H2061"/>
      <c r="I2061"/>
      <c r="J2061"/>
    </row>
    <row r="2062" spans="1:10" ht="15" x14ac:dyDescent="0.25">
      <c r="A2062"/>
      <c r="B2062"/>
      <c r="C2062"/>
      <c r="D2062"/>
      <c r="E2062"/>
      <c r="F2062"/>
      <c r="G2062"/>
      <c r="H2062"/>
      <c r="I2062"/>
      <c r="J2062"/>
    </row>
    <row r="2063" spans="1:10" ht="15" x14ac:dyDescent="0.25">
      <c r="A2063"/>
      <c r="B2063"/>
      <c r="C2063"/>
      <c r="D2063"/>
      <c r="E2063"/>
      <c r="F2063"/>
      <c r="G2063"/>
      <c r="H2063"/>
      <c r="I2063"/>
      <c r="J2063"/>
    </row>
    <row r="2064" spans="1:10" ht="15" x14ac:dyDescent="0.25">
      <c r="A2064"/>
      <c r="B2064"/>
      <c r="C2064"/>
      <c r="D2064"/>
      <c r="E2064"/>
      <c r="F2064"/>
      <c r="G2064"/>
      <c r="H2064"/>
      <c r="I2064"/>
      <c r="J2064"/>
    </row>
    <row r="2065" spans="1:10" ht="15" x14ac:dyDescent="0.25">
      <c r="A2065"/>
      <c r="B2065"/>
      <c r="C2065"/>
      <c r="D2065"/>
      <c r="E2065"/>
      <c r="F2065"/>
      <c r="G2065"/>
      <c r="H2065"/>
      <c r="I2065"/>
      <c r="J2065"/>
    </row>
    <row r="2066" spans="1:10" ht="15" x14ac:dyDescent="0.25">
      <c r="A2066"/>
      <c r="B2066"/>
      <c r="C2066"/>
      <c r="D2066"/>
      <c r="E2066"/>
      <c r="F2066"/>
      <c r="G2066"/>
      <c r="H2066"/>
      <c r="I2066"/>
      <c r="J2066"/>
    </row>
    <row r="2067" spans="1:10" ht="15" x14ac:dyDescent="0.25">
      <c r="A2067"/>
      <c r="B2067"/>
      <c r="C2067"/>
      <c r="D2067"/>
      <c r="E2067"/>
      <c r="F2067"/>
      <c r="G2067"/>
      <c r="H2067"/>
      <c r="I2067"/>
      <c r="J2067"/>
    </row>
    <row r="2068" spans="1:10" ht="15" x14ac:dyDescent="0.25">
      <c r="A2068"/>
      <c r="B2068"/>
      <c r="C2068"/>
      <c r="D2068"/>
      <c r="E2068"/>
      <c r="F2068"/>
      <c r="G2068"/>
      <c r="H2068"/>
      <c r="I2068"/>
      <c r="J2068"/>
    </row>
    <row r="2069" spans="1:10" ht="15" x14ac:dyDescent="0.25">
      <c r="A2069"/>
      <c r="B2069"/>
      <c r="C2069"/>
      <c r="D2069"/>
      <c r="E2069"/>
      <c r="F2069"/>
      <c r="G2069"/>
      <c r="H2069"/>
      <c r="I2069"/>
      <c r="J2069"/>
    </row>
    <row r="2070" spans="1:10" ht="15" x14ac:dyDescent="0.25">
      <c r="A2070"/>
      <c r="B2070"/>
      <c r="C2070"/>
      <c r="D2070"/>
      <c r="E2070"/>
      <c r="F2070"/>
      <c r="G2070"/>
      <c r="H2070"/>
      <c r="I2070"/>
      <c r="J2070"/>
    </row>
    <row r="2071" spans="1:10" ht="15" x14ac:dyDescent="0.25">
      <c r="A2071"/>
      <c r="B2071"/>
      <c r="C2071"/>
      <c r="D2071"/>
      <c r="E2071"/>
      <c r="F2071"/>
      <c r="G2071"/>
      <c r="H2071"/>
      <c r="I2071"/>
      <c r="J2071"/>
    </row>
    <row r="2072" spans="1:10" ht="15" x14ac:dyDescent="0.25">
      <c r="A2072"/>
      <c r="B2072"/>
      <c r="C2072"/>
      <c r="D2072"/>
      <c r="E2072"/>
      <c r="F2072"/>
      <c r="G2072"/>
      <c r="H2072"/>
      <c r="I2072"/>
      <c r="J2072"/>
    </row>
    <row r="2073" spans="1:10" ht="15" x14ac:dyDescent="0.25">
      <c r="A2073"/>
      <c r="B2073"/>
      <c r="C2073"/>
      <c r="D2073"/>
      <c r="E2073"/>
      <c r="F2073"/>
      <c r="G2073"/>
      <c r="H2073"/>
      <c r="I2073"/>
      <c r="J2073"/>
    </row>
    <row r="2074" spans="1:10" ht="15" x14ac:dyDescent="0.25">
      <c r="A2074"/>
      <c r="B2074"/>
      <c r="C2074"/>
      <c r="D2074"/>
      <c r="E2074"/>
      <c r="F2074"/>
      <c r="G2074"/>
      <c r="H2074"/>
      <c r="I2074"/>
      <c r="J2074"/>
    </row>
    <row r="2075" spans="1:10" ht="15" x14ac:dyDescent="0.25">
      <c r="A2075"/>
      <c r="B2075"/>
      <c r="C2075"/>
      <c r="D2075"/>
      <c r="E2075"/>
      <c r="F2075"/>
      <c r="G2075"/>
      <c r="H2075"/>
      <c r="I2075"/>
      <c r="J2075"/>
    </row>
    <row r="2076" spans="1:10" ht="15" x14ac:dyDescent="0.25">
      <c r="A2076"/>
      <c r="B2076"/>
      <c r="C2076"/>
      <c r="D2076"/>
      <c r="E2076"/>
      <c r="F2076"/>
      <c r="G2076"/>
      <c r="H2076"/>
      <c r="I2076"/>
      <c r="J2076"/>
    </row>
    <row r="2077" spans="1:10" ht="15" x14ac:dyDescent="0.25">
      <c r="A2077"/>
      <c r="B2077"/>
      <c r="C2077"/>
      <c r="D2077"/>
      <c r="E2077"/>
      <c r="F2077"/>
      <c r="G2077"/>
      <c r="H2077"/>
      <c r="I2077"/>
      <c r="J2077"/>
    </row>
    <row r="2078" spans="1:10" ht="15" x14ac:dyDescent="0.25">
      <c r="A2078"/>
      <c r="B2078"/>
      <c r="C2078"/>
      <c r="D2078"/>
      <c r="E2078"/>
      <c r="F2078"/>
      <c r="G2078"/>
      <c r="H2078"/>
      <c r="I2078"/>
      <c r="J2078"/>
    </row>
    <row r="2079" spans="1:10" ht="15" x14ac:dyDescent="0.25">
      <c r="A2079"/>
      <c r="B2079"/>
      <c r="C2079"/>
      <c r="D2079"/>
      <c r="E2079"/>
      <c r="F2079"/>
      <c r="G2079"/>
      <c r="H2079"/>
      <c r="I2079"/>
      <c r="J2079"/>
    </row>
    <row r="2080" spans="1:10" ht="15" x14ac:dyDescent="0.25">
      <c r="A2080"/>
      <c r="B2080"/>
      <c r="C2080"/>
      <c r="D2080"/>
      <c r="E2080"/>
      <c r="F2080"/>
      <c r="G2080"/>
      <c r="H2080"/>
      <c r="I2080"/>
      <c r="J2080"/>
    </row>
    <row r="2081" spans="1:10" ht="15" x14ac:dyDescent="0.25">
      <c r="A2081"/>
      <c r="B2081"/>
      <c r="C2081"/>
      <c r="D2081"/>
      <c r="E2081"/>
      <c r="F2081"/>
      <c r="G2081"/>
      <c r="H2081"/>
      <c r="I2081"/>
      <c r="J2081"/>
    </row>
    <row r="2082" spans="1:10" ht="15" x14ac:dyDescent="0.25">
      <c r="A2082"/>
      <c r="B2082"/>
      <c r="C2082"/>
      <c r="D2082"/>
      <c r="E2082"/>
      <c r="F2082"/>
      <c r="G2082"/>
      <c r="H2082"/>
      <c r="I2082"/>
      <c r="J2082"/>
    </row>
    <row r="2083" spans="1:10" ht="15" x14ac:dyDescent="0.25">
      <c r="A2083"/>
      <c r="B2083"/>
      <c r="C2083"/>
      <c r="D2083"/>
      <c r="E2083"/>
      <c r="F2083"/>
      <c r="G2083"/>
      <c r="H2083"/>
      <c r="I2083"/>
      <c r="J2083"/>
    </row>
    <row r="2084" spans="1:10" ht="15" x14ac:dyDescent="0.25">
      <c r="A2084"/>
      <c r="B2084"/>
      <c r="C2084"/>
      <c r="D2084"/>
      <c r="E2084"/>
      <c r="F2084"/>
      <c r="G2084"/>
      <c r="H2084"/>
      <c r="I2084"/>
      <c r="J2084"/>
    </row>
    <row r="2085" spans="1:10" ht="15" x14ac:dyDescent="0.25">
      <c r="A2085"/>
      <c r="B2085"/>
      <c r="C2085"/>
      <c r="D2085"/>
      <c r="E2085"/>
      <c r="F2085"/>
      <c r="G2085"/>
      <c r="H2085"/>
      <c r="I2085"/>
      <c r="J2085"/>
    </row>
    <row r="2086" spans="1:10" ht="15" x14ac:dyDescent="0.25">
      <c r="A2086"/>
      <c r="B2086"/>
      <c r="C2086"/>
      <c r="D2086"/>
      <c r="E2086"/>
      <c r="F2086"/>
      <c r="G2086"/>
      <c r="H2086"/>
      <c r="I2086"/>
      <c r="J2086"/>
    </row>
    <row r="2087" spans="1:10" ht="15" x14ac:dyDescent="0.25">
      <c r="A2087"/>
      <c r="B2087"/>
      <c r="C2087"/>
      <c r="D2087"/>
      <c r="E2087"/>
      <c r="F2087"/>
      <c r="G2087"/>
      <c r="H2087"/>
      <c r="I2087"/>
      <c r="J2087"/>
    </row>
    <row r="2088" spans="1:10" ht="15" x14ac:dyDescent="0.25">
      <c r="A2088"/>
      <c r="B2088"/>
      <c r="C2088"/>
      <c r="D2088"/>
      <c r="E2088"/>
      <c r="F2088"/>
      <c r="G2088"/>
      <c r="H2088"/>
      <c r="I2088"/>
      <c r="J2088"/>
    </row>
    <row r="2089" spans="1:10" ht="15" x14ac:dyDescent="0.25">
      <c r="A2089"/>
      <c r="B2089"/>
      <c r="C2089"/>
      <c r="D2089"/>
      <c r="E2089"/>
      <c r="F2089"/>
      <c r="G2089"/>
      <c r="H2089"/>
      <c r="I2089"/>
      <c r="J2089"/>
    </row>
    <row r="2090" spans="1:10" ht="15" x14ac:dyDescent="0.25">
      <c r="A2090"/>
      <c r="B2090"/>
      <c r="C2090"/>
      <c r="D2090"/>
      <c r="E2090"/>
      <c r="F2090"/>
      <c r="G2090"/>
      <c r="H2090"/>
      <c r="I2090"/>
      <c r="J2090"/>
    </row>
    <row r="2091" spans="1:10" ht="15" x14ac:dyDescent="0.25">
      <c r="A2091"/>
      <c r="B2091"/>
      <c r="C2091"/>
      <c r="D2091"/>
      <c r="E2091"/>
      <c r="F2091"/>
      <c r="G2091"/>
      <c r="H2091"/>
      <c r="I2091"/>
      <c r="J2091"/>
    </row>
    <row r="2092" spans="1:10" ht="15" x14ac:dyDescent="0.25">
      <c r="A2092"/>
      <c r="B2092"/>
      <c r="C2092"/>
      <c r="D2092"/>
      <c r="E2092"/>
      <c r="F2092"/>
      <c r="G2092"/>
      <c r="H2092"/>
      <c r="I2092"/>
      <c r="J2092"/>
    </row>
    <row r="2093" spans="1:10" ht="15" x14ac:dyDescent="0.25">
      <c r="A2093"/>
      <c r="B2093"/>
      <c r="C2093"/>
      <c r="D2093"/>
      <c r="E2093"/>
      <c r="F2093"/>
      <c r="G2093"/>
      <c r="H2093"/>
      <c r="I2093"/>
      <c r="J2093"/>
    </row>
    <row r="2094" spans="1:10" ht="15" x14ac:dyDescent="0.25">
      <c r="A2094"/>
      <c r="B2094"/>
      <c r="C2094"/>
      <c r="D2094"/>
      <c r="E2094"/>
      <c r="F2094"/>
      <c r="G2094"/>
      <c r="H2094"/>
      <c r="I2094"/>
      <c r="J2094"/>
    </row>
    <row r="2095" spans="1:10" ht="15" x14ac:dyDescent="0.25">
      <c r="A2095"/>
      <c r="B2095"/>
      <c r="C2095"/>
      <c r="D2095"/>
      <c r="E2095"/>
      <c r="F2095"/>
      <c r="G2095"/>
      <c r="H2095"/>
      <c r="I2095"/>
      <c r="J2095"/>
    </row>
    <row r="2096" spans="1:10" ht="15" x14ac:dyDescent="0.25">
      <c r="A2096"/>
      <c r="B2096"/>
      <c r="C2096"/>
      <c r="D2096"/>
      <c r="E2096"/>
      <c r="F2096"/>
      <c r="G2096"/>
      <c r="H2096"/>
      <c r="I2096"/>
      <c r="J2096"/>
    </row>
    <row r="2097" spans="1:10" ht="15" x14ac:dyDescent="0.25">
      <c r="A2097"/>
      <c r="B2097"/>
      <c r="C2097"/>
      <c r="D2097"/>
      <c r="E2097"/>
      <c r="F2097"/>
      <c r="G2097"/>
      <c r="H2097"/>
      <c r="I2097"/>
      <c r="J2097"/>
    </row>
    <row r="2098" spans="1:10" ht="15" x14ac:dyDescent="0.25">
      <c r="A2098"/>
      <c r="B2098"/>
      <c r="C2098"/>
      <c r="D2098"/>
      <c r="E2098"/>
      <c r="F2098"/>
      <c r="G2098"/>
      <c r="H2098"/>
      <c r="I2098"/>
      <c r="J2098"/>
    </row>
    <row r="2099" spans="1:10" ht="15" x14ac:dyDescent="0.25">
      <c r="A2099"/>
      <c r="B2099"/>
      <c r="C2099"/>
      <c r="D2099"/>
      <c r="E2099"/>
      <c r="F2099"/>
      <c r="G2099"/>
      <c r="H2099"/>
      <c r="I2099"/>
      <c r="J2099"/>
    </row>
    <row r="2100" spans="1:10" ht="15" x14ac:dyDescent="0.25">
      <c r="A2100"/>
      <c r="B2100"/>
      <c r="C2100"/>
      <c r="D2100"/>
      <c r="E2100"/>
      <c r="F2100"/>
      <c r="G2100"/>
      <c r="H2100"/>
      <c r="I2100"/>
      <c r="J2100"/>
    </row>
    <row r="2101" spans="1:10" ht="15" x14ac:dyDescent="0.25">
      <c r="A2101"/>
      <c r="B2101"/>
      <c r="C2101"/>
      <c r="D2101"/>
      <c r="E2101"/>
      <c r="F2101"/>
      <c r="G2101"/>
      <c r="H2101"/>
      <c r="I2101"/>
      <c r="J2101"/>
    </row>
    <row r="2102" spans="1:10" ht="15" x14ac:dyDescent="0.25">
      <c r="A2102"/>
      <c r="B2102"/>
      <c r="C2102"/>
      <c r="D2102"/>
      <c r="E2102"/>
      <c r="F2102"/>
      <c r="G2102"/>
      <c r="H2102"/>
      <c r="I2102"/>
      <c r="J2102"/>
    </row>
    <row r="2103" spans="1:10" ht="15" x14ac:dyDescent="0.25">
      <c r="A2103"/>
      <c r="B2103"/>
      <c r="C2103"/>
      <c r="D2103"/>
      <c r="E2103"/>
      <c r="F2103"/>
      <c r="G2103"/>
      <c r="H2103"/>
      <c r="I2103"/>
      <c r="J2103"/>
    </row>
    <row r="2104" spans="1:10" ht="15" x14ac:dyDescent="0.25">
      <c r="A2104"/>
      <c r="B2104"/>
      <c r="C2104"/>
      <c r="D2104"/>
      <c r="E2104"/>
      <c r="F2104"/>
      <c r="G2104"/>
      <c r="H2104"/>
      <c r="I2104"/>
      <c r="J2104"/>
    </row>
    <row r="2105" spans="1:10" ht="15" x14ac:dyDescent="0.25">
      <c r="A2105"/>
      <c r="B2105"/>
      <c r="C2105"/>
      <c r="D2105"/>
      <c r="E2105"/>
      <c r="F2105"/>
      <c r="G2105"/>
      <c r="H2105"/>
      <c r="I2105"/>
      <c r="J2105"/>
    </row>
    <row r="2106" spans="1:10" ht="15" x14ac:dyDescent="0.25">
      <c r="A2106"/>
      <c r="B2106"/>
      <c r="C2106"/>
      <c r="D2106"/>
      <c r="E2106"/>
      <c r="F2106"/>
      <c r="G2106"/>
      <c r="H2106"/>
      <c r="I2106"/>
      <c r="J2106"/>
    </row>
    <row r="2107" spans="1:10" ht="15" x14ac:dyDescent="0.25">
      <c r="A2107"/>
      <c r="B2107"/>
      <c r="C2107"/>
      <c r="D2107"/>
      <c r="E2107"/>
      <c r="F2107"/>
      <c r="G2107"/>
      <c r="H2107"/>
      <c r="I2107"/>
      <c r="J2107"/>
    </row>
    <row r="2108" spans="1:10" ht="15" x14ac:dyDescent="0.25">
      <c r="A2108"/>
      <c r="B2108"/>
      <c r="C2108"/>
      <c r="D2108"/>
      <c r="E2108"/>
      <c r="F2108"/>
      <c r="G2108"/>
      <c r="H2108"/>
      <c r="I2108"/>
      <c r="J2108"/>
    </row>
    <row r="2109" spans="1:10" ht="15" x14ac:dyDescent="0.25">
      <c r="A2109"/>
      <c r="B2109"/>
      <c r="C2109"/>
      <c r="D2109"/>
      <c r="E2109"/>
      <c r="F2109"/>
      <c r="G2109"/>
      <c r="H2109"/>
      <c r="I2109"/>
      <c r="J2109"/>
    </row>
    <row r="2110" spans="1:10" ht="15" x14ac:dyDescent="0.25">
      <c r="A2110"/>
      <c r="B2110"/>
      <c r="C2110"/>
      <c r="D2110"/>
      <c r="E2110"/>
      <c r="F2110"/>
      <c r="G2110"/>
      <c r="H2110"/>
      <c r="I2110"/>
      <c r="J2110"/>
    </row>
    <row r="2111" spans="1:10" ht="15" x14ac:dyDescent="0.25">
      <c r="A2111"/>
      <c r="B2111"/>
      <c r="C2111"/>
      <c r="D2111"/>
      <c r="E2111"/>
      <c r="F2111"/>
      <c r="G2111"/>
      <c r="H2111"/>
      <c r="I2111"/>
      <c r="J2111"/>
    </row>
    <row r="2112" spans="1:10" ht="15" x14ac:dyDescent="0.25">
      <c r="A2112"/>
      <c r="B2112"/>
      <c r="C2112"/>
      <c r="D2112" s="8"/>
      <c r="E2112"/>
      <c r="F2112"/>
      <c r="G2112"/>
      <c r="H2112"/>
      <c r="I2112"/>
      <c r="J2112"/>
    </row>
    <row r="2113" spans="1:10" ht="15" x14ac:dyDescent="0.25">
      <c r="A2113"/>
      <c r="B2113"/>
      <c r="C2113"/>
      <c r="D2113" s="8"/>
      <c r="E2113"/>
      <c r="F2113"/>
      <c r="G2113"/>
      <c r="H2113"/>
      <c r="I2113"/>
      <c r="J2113"/>
    </row>
    <row r="2114" spans="1:10" ht="15" x14ac:dyDescent="0.25">
      <c r="A2114"/>
      <c r="B2114"/>
      <c r="C2114"/>
      <c r="D2114" s="8"/>
      <c r="E2114"/>
      <c r="F2114"/>
      <c r="G2114"/>
      <c r="H2114"/>
      <c r="I2114"/>
      <c r="J2114"/>
    </row>
    <row r="2115" spans="1:10" ht="15" x14ac:dyDescent="0.25">
      <c r="A2115"/>
      <c r="B2115"/>
      <c r="C2115"/>
      <c r="D2115" s="8"/>
      <c r="E2115"/>
      <c r="F2115"/>
      <c r="G2115"/>
      <c r="H2115"/>
      <c r="I2115"/>
      <c r="J2115"/>
    </row>
    <row r="2116" spans="1:10" ht="15" x14ac:dyDescent="0.25">
      <c r="A2116"/>
      <c r="B2116"/>
      <c r="C2116"/>
      <c r="D2116" s="8"/>
      <c r="E2116"/>
      <c r="F2116"/>
      <c r="G2116"/>
      <c r="H2116"/>
      <c r="I2116"/>
      <c r="J2116"/>
    </row>
    <row r="2117" spans="1:10" ht="15" x14ac:dyDescent="0.25">
      <c r="A2117"/>
      <c r="B2117"/>
      <c r="C2117"/>
      <c r="D2117" s="8"/>
      <c r="E2117"/>
      <c r="F2117"/>
      <c r="G2117"/>
      <c r="H2117"/>
      <c r="I2117"/>
      <c r="J2117"/>
    </row>
    <row r="2118" spans="1:10" ht="15" x14ac:dyDescent="0.25">
      <c r="A2118"/>
      <c r="B2118"/>
      <c r="C2118"/>
      <c r="D2118" s="8"/>
      <c r="E2118"/>
      <c r="F2118"/>
      <c r="G2118"/>
      <c r="H2118"/>
      <c r="I2118"/>
      <c r="J2118"/>
    </row>
    <row r="2119" spans="1:10" ht="15" x14ac:dyDescent="0.25">
      <c r="A2119"/>
      <c r="B2119"/>
      <c r="C2119"/>
      <c r="D2119" s="8"/>
      <c r="E2119"/>
      <c r="F2119"/>
      <c r="G2119"/>
      <c r="H2119"/>
      <c r="I2119"/>
      <c r="J2119"/>
    </row>
    <row r="2120" spans="1:10" ht="15" x14ac:dyDescent="0.25">
      <c r="A2120"/>
      <c r="B2120"/>
      <c r="C2120"/>
      <c r="D2120" s="8"/>
      <c r="E2120"/>
      <c r="F2120"/>
      <c r="G2120"/>
      <c r="H2120"/>
      <c r="I2120"/>
      <c r="J2120"/>
    </row>
    <row r="2121" spans="1:10" ht="15" x14ac:dyDescent="0.25">
      <c r="A2121"/>
      <c r="B2121"/>
      <c r="C2121"/>
      <c r="D2121" s="8"/>
      <c r="E2121"/>
      <c r="F2121"/>
      <c r="G2121"/>
      <c r="H2121"/>
      <c r="I2121"/>
      <c r="J2121"/>
    </row>
    <row r="2122" spans="1:10" ht="15" x14ac:dyDescent="0.25">
      <c r="A2122"/>
      <c r="B2122"/>
      <c r="C2122"/>
      <c r="D2122" s="8"/>
      <c r="E2122"/>
      <c r="F2122"/>
      <c r="G2122"/>
      <c r="H2122"/>
      <c r="I2122"/>
      <c r="J2122"/>
    </row>
    <row r="2123" spans="1:10" ht="15" x14ac:dyDescent="0.25">
      <c r="A2123"/>
      <c r="B2123"/>
      <c r="C2123"/>
      <c r="D2123" s="8"/>
      <c r="E2123"/>
      <c r="F2123"/>
      <c r="G2123"/>
      <c r="H2123"/>
      <c r="I2123"/>
      <c r="J2123"/>
    </row>
    <row r="2124" spans="1:10" ht="15" x14ac:dyDescent="0.25">
      <c r="A2124"/>
      <c r="B2124"/>
      <c r="C2124"/>
      <c r="D2124" s="8"/>
      <c r="E2124"/>
      <c r="F2124"/>
      <c r="G2124"/>
      <c r="H2124"/>
      <c r="I2124"/>
      <c r="J2124"/>
    </row>
    <row r="2125" spans="1:10" ht="15" x14ac:dyDescent="0.25">
      <c r="A2125"/>
      <c r="B2125"/>
      <c r="C2125"/>
      <c r="D2125" s="8"/>
      <c r="E2125"/>
      <c r="F2125"/>
      <c r="G2125"/>
      <c r="H2125"/>
      <c r="I2125"/>
      <c r="J2125"/>
    </row>
    <row r="2126" spans="1:10" ht="15" x14ac:dyDescent="0.25">
      <c r="A2126"/>
      <c r="B2126"/>
      <c r="C2126"/>
      <c r="D2126" s="8"/>
      <c r="E2126"/>
      <c r="F2126"/>
      <c r="G2126"/>
      <c r="H2126"/>
      <c r="I2126"/>
      <c r="J2126"/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24"/>
  <sheetViews>
    <sheetView zoomScaleNormal="100" workbookViewId="0">
      <pane xSplit="7" ySplit="2" topLeftCell="H3" activePane="bottomRight" state="frozen"/>
      <selection pane="topRight" activeCell="G1" sqref="G1"/>
      <selection pane="bottomLeft" activeCell="A2" sqref="A2"/>
      <selection pane="bottomRight" activeCell="H3" sqref="H3"/>
    </sheetView>
  </sheetViews>
  <sheetFormatPr defaultColWidth="11.42578125" defaultRowHeight="15" x14ac:dyDescent="0.25"/>
  <cols>
    <col min="1" max="1" width="14.7109375" style="8" customWidth="1"/>
    <col min="2" max="2" width="5.140625" bestFit="1" customWidth="1"/>
    <col min="3" max="3" width="11.7109375" bestFit="1" customWidth="1"/>
    <col min="4" max="4" width="11.7109375" customWidth="1"/>
    <col min="5" max="5" width="25.85546875" customWidth="1"/>
    <col min="6" max="6" width="6.28515625" style="9" bestFit="1" customWidth="1"/>
    <col min="7" max="7" width="26.85546875" bestFit="1" customWidth="1"/>
    <col min="8" max="19" width="5.7109375" style="14" customWidth="1"/>
    <col min="20" max="20" width="11.5703125" style="15" bestFit="1" customWidth="1"/>
    <col min="21" max="21" width="9.7109375" style="15" bestFit="1" customWidth="1"/>
    <col min="22" max="22" width="8.7109375" style="10" bestFit="1" customWidth="1"/>
    <col min="23" max="23" width="13.28515625" style="11" bestFit="1" customWidth="1"/>
    <col min="24" max="24" width="14.140625" style="11" bestFit="1" customWidth="1"/>
    <col min="25" max="25" width="17.5703125" bestFit="1" customWidth="1"/>
    <col min="26" max="26" width="10.5703125" style="11" bestFit="1" customWidth="1"/>
    <col min="27" max="27" width="23.140625" customWidth="1"/>
    <col min="28" max="28" width="9.7109375" bestFit="1" customWidth="1"/>
    <col min="29" max="30" width="10.140625" style="16" customWidth="1"/>
    <col min="31" max="31" width="32.140625" bestFit="1" customWidth="1"/>
    <col min="32" max="32" width="8.5703125" bestFit="1" customWidth="1"/>
    <col min="33" max="33" width="8.5703125" customWidth="1"/>
    <col min="34" max="34" width="10.42578125" bestFit="1" customWidth="1"/>
    <col min="35" max="35" width="8.5703125" bestFit="1" customWidth="1"/>
    <col min="36" max="36" width="8.42578125" bestFit="1" customWidth="1"/>
    <col min="37" max="38" width="13.42578125" bestFit="1" customWidth="1"/>
    <col min="39" max="39" width="12.7109375" bestFit="1" customWidth="1"/>
  </cols>
  <sheetData>
    <row r="1" spans="1:41" s="22" customFormat="1" ht="11.25" x14ac:dyDescent="0.2">
      <c r="A1" s="21"/>
      <c r="F1" s="23"/>
      <c r="H1" s="20">
        <f t="shared" ref="H1:U1" si="0">SUBTOTAL(9, H3:H1048576)</f>
        <v>2395</v>
      </c>
      <c r="I1" s="20">
        <f t="shared" si="0"/>
        <v>1059</v>
      </c>
      <c r="J1" s="20">
        <f t="shared" si="0"/>
        <v>1509</v>
      </c>
      <c r="K1" s="20">
        <f t="shared" si="0"/>
        <v>2733</v>
      </c>
      <c r="L1" s="20">
        <f t="shared" si="0"/>
        <v>1433</v>
      </c>
      <c r="M1" s="20">
        <f t="shared" si="0"/>
        <v>1342</v>
      </c>
      <c r="N1" s="20">
        <f t="shared" si="0"/>
        <v>771</v>
      </c>
      <c r="O1" s="20">
        <f t="shared" si="0"/>
        <v>1132</v>
      </c>
      <c r="P1" s="20">
        <f t="shared" si="0"/>
        <v>5335</v>
      </c>
      <c r="Q1" s="20">
        <f t="shared" si="0"/>
        <v>1164</v>
      </c>
      <c r="R1" s="20">
        <f t="shared" si="0"/>
        <v>1418</v>
      </c>
      <c r="S1" s="20">
        <f t="shared" si="0"/>
        <v>1208</v>
      </c>
      <c r="T1" s="20">
        <f t="shared" si="0"/>
        <v>21499</v>
      </c>
      <c r="U1" s="20">
        <f t="shared" si="0"/>
        <v>26203.5</v>
      </c>
      <c r="V1" s="31">
        <f>T1/U1</f>
        <v>0.82046291525941195</v>
      </c>
      <c r="W1" s="24">
        <f>SUBTOTAL(9, W3:W1048576)</f>
        <v>103609087.12000005</v>
      </c>
      <c r="X1" s="24">
        <f>SUBTOTAL(9, X3:X1048576)</f>
        <v>131627963.20999999</v>
      </c>
      <c r="Z1" s="24"/>
      <c r="AC1" s="25"/>
      <c r="AD1" s="25"/>
      <c r="AF1" s="20">
        <f>SUBTOTAL(9, AF3:AF1048576)</f>
        <v>0</v>
      </c>
      <c r="AG1" s="20">
        <f>SUBTOTAL(9, AG3:AG1048576)</f>
        <v>331</v>
      </c>
      <c r="AH1" s="20">
        <f>SUBTOTAL(9, AH3:AH1048576)</f>
        <v>21830</v>
      </c>
      <c r="AI1" s="20">
        <f>SUBTOTAL(9, AI3:AI1048576)</f>
        <v>23701.5</v>
      </c>
      <c r="AJ1" s="20"/>
      <c r="AK1" s="24">
        <f>SUBTOTAL(9, AK3:AK1048576)</f>
        <v>107754952.54000004</v>
      </c>
      <c r="AL1" s="24">
        <f>SUBTOTAL(9, AL3:AL1048576)</f>
        <v>125705335.92999999</v>
      </c>
    </row>
    <row r="2" spans="1:41" s="7" customFormat="1" ht="35.25" customHeight="1" x14ac:dyDescent="0.25">
      <c r="A2" s="3" t="s">
        <v>0</v>
      </c>
      <c r="B2" s="1" t="s">
        <v>1</v>
      </c>
      <c r="C2" s="1" t="s">
        <v>2</v>
      </c>
      <c r="D2" s="1" t="s">
        <v>44</v>
      </c>
      <c r="E2" s="1" t="s">
        <v>3</v>
      </c>
      <c r="F2" s="18" t="s">
        <v>4</v>
      </c>
      <c r="G2" s="1" t="s">
        <v>5</v>
      </c>
      <c r="H2" s="12" t="s">
        <v>6</v>
      </c>
      <c r="I2" s="12" t="s">
        <v>23</v>
      </c>
      <c r="J2" s="12" t="s">
        <v>24</v>
      </c>
      <c r="K2" s="12" t="s">
        <v>25</v>
      </c>
      <c r="L2" s="13" t="s">
        <v>26</v>
      </c>
      <c r="M2" s="13" t="s">
        <v>27</v>
      </c>
      <c r="N2" s="19" t="s">
        <v>28</v>
      </c>
      <c r="O2" s="2" t="s">
        <v>29</v>
      </c>
      <c r="P2" s="2" t="s">
        <v>30</v>
      </c>
      <c r="Q2" s="3" t="s">
        <v>31</v>
      </c>
      <c r="R2" s="2" t="s">
        <v>32</v>
      </c>
      <c r="S2" s="3" t="s">
        <v>33</v>
      </c>
      <c r="T2" s="3" t="s">
        <v>7</v>
      </c>
      <c r="U2" s="3" t="s">
        <v>8</v>
      </c>
      <c r="V2" s="3" t="s">
        <v>9</v>
      </c>
      <c r="W2" s="3" t="s">
        <v>36</v>
      </c>
      <c r="X2" s="3" t="s">
        <v>10</v>
      </c>
      <c r="Y2" s="3" t="s">
        <v>11</v>
      </c>
      <c r="Z2" s="3" t="s">
        <v>12</v>
      </c>
      <c r="AA2" s="3" t="s">
        <v>13</v>
      </c>
      <c r="AB2" s="3" t="s">
        <v>14</v>
      </c>
      <c r="AC2" s="3" t="s">
        <v>21</v>
      </c>
      <c r="AD2" s="3" t="s">
        <v>22</v>
      </c>
      <c r="AE2" s="3" t="s">
        <v>15</v>
      </c>
      <c r="AF2" s="26">
        <v>2015</v>
      </c>
      <c r="AG2" s="26">
        <v>2016</v>
      </c>
      <c r="AH2" s="27" t="s">
        <v>47</v>
      </c>
      <c r="AI2" s="27" t="s">
        <v>48</v>
      </c>
      <c r="AJ2" s="28" t="s">
        <v>9</v>
      </c>
      <c r="AK2" s="28" t="s">
        <v>36</v>
      </c>
      <c r="AL2" s="28" t="s">
        <v>10</v>
      </c>
      <c r="AM2" s="29" t="s">
        <v>49</v>
      </c>
      <c r="AN2" s="29" t="s">
        <v>58</v>
      </c>
      <c r="AO2" s="29" t="s">
        <v>86</v>
      </c>
    </row>
    <row r="3" spans="1:41" s="17" customFormat="1" x14ac:dyDescent="0.25">
      <c r="A3" s="70" t="s">
        <v>94</v>
      </c>
      <c r="B3" s="70">
        <v>2017</v>
      </c>
      <c r="C3" s="70" t="s">
        <v>34</v>
      </c>
      <c r="D3" s="70" t="s">
        <v>34</v>
      </c>
      <c r="E3" s="70" t="s">
        <v>61</v>
      </c>
      <c r="F3" s="70">
        <v>5627</v>
      </c>
      <c r="G3" s="70" t="s">
        <v>187</v>
      </c>
      <c r="H3" s="71">
        <v>0</v>
      </c>
      <c r="I3" s="71">
        <v>0</v>
      </c>
      <c r="J3" s="71">
        <v>0</v>
      </c>
      <c r="K3" s="71">
        <v>0</v>
      </c>
      <c r="L3" s="71">
        <v>0</v>
      </c>
      <c r="M3" s="71">
        <v>0</v>
      </c>
      <c r="N3" s="71">
        <v>0</v>
      </c>
      <c r="O3" s="71">
        <v>0</v>
      </c>
      <c r="P3" s="71">
        <v>0</v>
      </c>
      <c r="Q3" s="71">
        <v>0</v>
      </c>
      <c r="R3" s="71">
        <v>0</v>
      </c>
      <c r="S3" s="71">
        <v>0</v>
      </c>
      <c r="T3" s="68">
        <f t="shared" ref="T3:T66" si="1">SUM(H3:S3)</f>
        <v>0</v>
      </c>
      <c r="U3" s="71">
        <v>940</v>
      </c>
      <c r="V3" s="33">
        <f t="shared" ref="V3:V66" si="2">IF(ISERROR(T3/U3),0,(T3/U3))</f>
        <v>0</v>
      </c>
      <c r="W3" s="69">
        <f t="shared" ref="W3:W66" si="3">T3*Z3</f>
        <v>0</v>
      </c>
      <c r="X3" s="69">
        <f t="shared" ref="X3:X66" si="4">U3*Z3</f>
        <v>2466560</v>
      </c>
      <c r="Y3" s="70" t="s">
        <v>188</v>
      </c>
      <c r="Z3" s="72">
        <v>2624</v>
      </c>
      <c r="AA3" s="70" t="s">
        <v>95</v>
      </c>
      <c r="AB3" s="68">
        <f t="shared" ref="AB3:AB66" si="5">U3-T3</f>
        <v>940</v>
      </c>
      <c r="AC3" s="73">
        <v>43012</v>
      </c>
      <c r="AD3" s="73">
        <v>43100</v>
      </c>
      <c r="AE3" s="70" t="s">
        <v>57</v>
      </c>
      <c r="AF3" s="71">
        <v>0</v>
      </c>
      <c r="AG3" s="71">
        <v>0</v>
      </c>
      <c r="AH3" s="32">
        <f t="shared" ref="AH3:AH66" si="6">T3+AF3+AG3</f>
        <v>0</v>
      </c>
      <c r="AI3" s="71">
        <v>940</v>
      </c>
      <c r="AJ3" s="33">
        <f t="shared" ref="AJ3:AJ66" si="7">IF(ISERROR(AH3/AI3),0,(AH3/AI3))</f>
        <v>0</v>
      </c>
      <c r="AK3" s="69">
        <f t="shared" ref="AK3:AK66" si="8">AH3*Z3</f>
        <v>0</v>
      </c>
      <c r="AL3" s="69">
        <f t="shared" ref="AL3:AL66" si="9">AI3*Z3</f>
        <v>2466560</v>
      </c>
      <c r="AM3" s="70" t="s">
        <v>39</v>
      </c>
      <c r="AN3" s="70" t="s">
        <v>59</v>
      </c>
      <c r="AO3" s="70" t="s">
        <v>84</v>
      </c>
    </row>
    <row r="4" spans="1:41" s="17" customFormat="1" x14ac:dyDescent="0.25">
      <c r="A4" s="70" t="s">
        <v>62</v>
      </c>
      <c r="B4" s="70">
        <v>2017</v>
      </c>
      <c r="C4" s="70" t="s">
        <v>34</v>
      </c>
      <c r="D4" s="70" t="s">
        <v>34</v>
      </c>
      <c r="E4" s="70" t="s">
        <v>61</v>
      </c>
      <c r="F4" s="70">
        <v>5627</v>
      </c>
      <c r="G4" s="70" t="s">
        <v>187</v>
      </c>
      <c r="H4" s="71">
        <v>0</v>
      </c>
      <c r="I4" s="71">
        <v>0</v>
      </c>
      <c r="J4" s="71">
        <v>0</v>
      </c>
      <c r="K4" s="71">
        <v>0</v>
      </c>
      <c r="L4" s="71">
        <v>0</v>
      </c>
      <c r="M4" s="71">
        <v>0</v>
      </c>
      <c r="N4" s="71">
        <v>0</v>
      </c>
      <c r="O4" s="71">
        <v>0</v>
      </c>
      <c r="P4" s="71">
        <v>0</v>
      </c>
      <c r="Q4" s="71">
        <v>0</v>
      </c>
      <c r="R4" s="71">
        <v>0</v>
      </c>
      <c r="S4" s="71">
        <v>0</v>
      </c>
      <c r="T4" s="68">
        <f t="shared" si="1"/>
        <v>0</v>
      </c>
      <c r="U4" s="71">
        <v>3108</v>
      </c>
      <c r="V4" s="33">
        <f t="shared" si="2"/>
        <v>0</v>
      </c>
      <c r="W4" s="69">
        <f t="shared" si="3"/>
        <v>0</v>
      </c>
      <c r="X4" s="69">
        <f t="shared" si="4"/>
        <v>8155392</v>
      </c>
      <c r="Y4" s="70" t="s">
        <v>188</v>
      </c>
      <c r="Z4" s="72">
        <v>2624</v>
      </c>
      <c r="AA4" s="70" t="s">
        <v>63</v>
      </c>
      <c r="AB4" s="68">
        <f t="shared" si="5"/>
        <v>3108</v>
      </c>
      <c r="AC4" s="73">
        <v>42730</v>
      </c>
      <c r="AD4" s="73">
        <v>43100</v>
      </c>
      <c r="AE4" s="70" t="s">
        <v>57</v>
      </c>
      <c r="AF4" s="71">
        <v>0</v>
      </c>
      <c r="AG4" s="71">
        <v>0</v>
      </c>
      <c r="AH4" s="32">
        <f t="shared" si="6"/>
        <v>0</v>
      </c>
      <c r="AI4" s="71">
        <v>3108</v>
      </c>
      <c r="AJ4" s="33">
        <f t="shared" si="7"/>
        <v>0</v>
      </c>
      <c r="AK4" s="69">
        <f t="shared" si="8"/>
        <v>0</v>
      </c>
      <c r="AL4" s="69">
        <f t="shared" si="9"/>
        <v>8155392</v>
      </c>
      <c r="AM4" s="70" t="s">
        <v>39</v>
      </c>
      <c r="AN4" s="70" t="s">
        <v>59</v>
      </c>
      <c r="AO4" s="70" t="s">
        <v>84</v>
      </c>
    </row>
    <row r="5" spans="1:41" s="17" customFormat="1" x14ac:dyDescent="0.25">
      <c r="A5" s="70" t="s">
        <v>94</v>
      </c>
      <c r="B5" s="70">
        <v>2017</v>
      </c>
      <c r="C5" s="70" t="s">
        <v>34</v>
      </c>
      <c r="D5" s="70" t="s">
        <v>34</v>
      </c>
      <c r="E5" s="70" t="s">
        <v>61</v>
      </c>
      <c r="F5" s="70">
        <v>5835</v>
      </c>
      <c r="G5" s="70" t="s">
        <v>189</v>
      </c>
      <c r="H5" s="71">
        <v>0</v>
      </c>
      <c r="I5" s="71">
        <v>0</v>
      </c>
      <c r="J5" s="71">
        <v>0</v>
      </c>
      <c r="K5" s="71">
        <v>0</v>
      </c>
      <c r="L5" s="71">
        <v>0</v>
      </c>
      <c r="M5" s="71">
        <v>0</v>
      </c>
      <c r="N5" s="71">
        <v>0</v>
      </c>
      <c r="O5" s="71">
        <v>0</v>
      </c>
      <c r="P5" s="71">
        <v>0</v>
      </c>
      <c r="Q5" s="71">
        <v>0</v>
      </c>
      <c r="R5" s="71">
        <v>0</v>
      </c>
      <c r="S5" s="71">
        <v>0</v>
      </c>
      <c r="T5" s="68">
        <f t="shared" si="1"/>
        <v>0</v>
      </c>
      <c r="U5" s="71">
        <v>370</v>
      </c>
      <c r="V5" s="33">
        <f t="shared" si="2"/>
        <v>0</v>
      </c>
      <c r="W5" s="69">
        <f t="shared" si="3"/>
        <v>0</v>
      </c>
      <c r="X5" s="69">
        <f t="shared" si="4"/>
        <v>862655</v>
      </c>
      <c r="Y5" s="70" t="s">
        <v>188</v>
      </c>
      <c r="Z5" s="72">
        <v>2331.5</v>
      </c>
      <c r="AA5" s="70" t="s">
        <v>95</v>
      </c>
      <c r="AB5" s="68">
        <f t="shared" si="5"/>
        <v>370</v>
      </c>
      <c r="AC5" s="73">
        <v>43012</v>
      </c>
      <c r="AD5" s="73">
        <v>43100</v>
      </c>
      <c r="AE5" s="70" t="s">
        <v>57</v>
      </c>
      <c r="AF5" s="71">
        <v>0</v>
      </c>
      <c r="AG5" s="71">
        <v>0</v>
      </c>
      <c r="AH5" s="32">
        <f t="shared" si="6"/>
        <v>0</v>
      </c>
      <c r="AI5" s="71">
        <v>370</v>
      </c>
      <c r="AJ5" s="33">
        <f t="shared" si="7"/>
        <v>0</v>
      </c>
      <c r="AK5" s="69">
        <f t="shared" si="8"/>
        <v>0</v>
      </c>
      <c r="AL5" s="69">
        <f t="shared" si="9"/>
        <v>862655</v>
      </c>
      <c r="AM5" s="70" t="s">
        <v>39</v>
      </c>
      <c r="AN5" s="70" t="s">
        <v>59</v>
      </c>
      <c r="AO5" s="70" t="s">
        <v>84</v>
      </c>
    </row>
    <row r="6" spans="1:41" s="17" customFormat="1" x14ac:dyDescent="0.25">
      <c r="A6" s="70" t="s">
        <v>62</v>
      </c>
      <c r="B6" s="70">
        <v>2017</v>
      </c>
      <c r="C6" s="70" t="s">
        <v>34</v>
      </c>
      <c r="D6" s="70" t="s">
        <v>34</v>
      </c>
      <c r="E6" s="70" t="s">
        <v>61</v>
      </c>
      <c r="F6" s="70">
        <v>5835</v>
      </c>
      <c r="G6" s="70" t="s">
        <v>189</v>
      </c>
      <c r="H6" s="71">
        <v>0</v>
      </c>
      <c r="I6" s="71">
        <v>0</v>
      </c>
      <c r="J6" s="71">
        <v>0</v>
      </c>
      <c r="K6" s="71">
        <v>0</v>
      </c>
      <c r="L6" s="71">
        <v>0</v>
      </c>
      <c r="M6" s="71">
        <v>0</v>
      </c>
      <c r="N6" s="71">
        <v>0</v>
      </c>
      <c r="O6" s="71">
        <v>0</v>
      </c>
      <c r="P6" s="71">
        <v>0</v>
      </c>
      <c r="Q6" s="71">
        <v>0</v>
      </c>
      <c r="R6" s="71">
        <v>0</v>
      </c>
      <c r="S6" s="71">
        <v>0</v>
      </c>
      <c r="T6" s="68">
        <f t="shared" si="1"/>
        <v>0</v>
      </c>
      <c r="U6" s="71">
        <v>1836</v>
      </c>
      <c r="V6" s="33">
        <f t="shared" si="2"/>
        <v>0</v>
      </c>
      <c r="W6" s="69">
        <f t="shared" si="3"/>
        <v>0</v>
      </c>
      <c r="X6" s="69">
        <f t="shared" si="4"/>
        <v>4280634</v>
      </c>
      <c r="Y6" s="70" t="s">
        <v>188</v>
      </c>
      <c r="Z6" s="72">
        <v>2331.5</v>
      </c>
      <c r="AA6" s="70" t="s">
        <v>63</v>
      </c>
      <c r="AB6" s="68">
        <f t="shared" si="5"/>
        <v>1836</v>
      </c>
      <c r="AC6" s="73">
        <v>42730</v>
      </c>
      <c r="AD6" s="73">
        <v>43100</v>
      </c>
      <c r="AE6" s="70" t="s">
        <v>57</v>
      </c>
      <c r="AF6" s="71">
        <v>0</v>
      </c>
      <c r="AG6" s="71">
        <v>0</v>
      </c>
      <c r="AH6" s="32">
        <f t="shared" si="6"/>
        <v>0</v>
      </c>
      <c r="AI6" s="71">
        <v>1836</v>
      </c>
      <c r="AJ6" s="33">
        <f t="shared" si="7"/>
        <v>0</v>
      </c>
      <c r="AK6" s="69">
        <f t="shared" si="8"/>
        <v>0</v>
      </c>
      <c r="AL6" s="69">
        <f t="shared" si="9"/>
        <v>4280634</v>
      </c>
      <c r="AM6" s="70" t="s">
        <v>39</v>
      </c>
      <c r="AN6" s="70" t="s">
        <v>59</v>
      </c>
      <c r="AO6" s="70" t="s">
        <v>84</v>
      </c>
    </row>
    <row r="7" spans="1:41" x14ac:dyDescent="0.25">
      <c r="A7" s="70" t="s">
        <v>62</v>
      </c>
      <c r="B7" s="70">
        <v>2017</v>
      </c>
      <c r="C7" s="70" t="s">
        <v>34</v>
      </c>
      <c r="D7" s="70" t="s">
        <v>34</v>
      </c>
      <c r="E7" s="70" t="s">
        <v>133</v>
      </c>
      <c r="F7" s="70">
        <v>5627</v>
      </c>
      <c r="G7" s="70" t="s">
        <v>187</v>
      </c>
      <c r="H7" s="71">
        <v>0</v>
      </c>
      <c r="I7" s="71">
        <v>0</v>
      </c>
      <c r="J7" s="71">
        <v>0</v>
      </c>
      <c r="K7" s="71">
        <v>0</v>
      </c>
      <c r="L7" s="71">
        <v>0</v>
      </c>
      <c r="M7" s="71">
        <v>0</v>
      </c>
      <c r="N7" s="71">
        <v>0</v>
      </c>
      <c r="O7" s="71">
        <v>0</v>
      </c>
      <c r="P7" s="71">
        <v>4</v>
      </c>
      <c r="Q7" s="71">
        <v>0</v>
      </c>
      <c r="R7" s="71">
        <v>0</v>
      </c>
      <c r="S7" s="71">
        <v>0</v>
      </c>
      <c r="T7" s="68">
        <f t="shared" si="1"/>
        <v>4</v>
      </c>
      <c r="U7" s="71">
        <v>0</v>
      </c>
      <c r="V7" s="33">
        <f t="shared" si="2"/>
        <v>0</v>
      </c>
      <c r="W7" s="69">
        <f t="shared" si="3"/>
        <v>10496</v>
      </c>
      <c r="X7" s="69">
        <f t="shared" si="4"/>
        <v>0</v>
      </c>
      <c r="Y7" s="70" t="s">
        <v>188</v>
      </c>
      <c r="Z7" s="72">
        <v>2624</v>
      </c>
      <c r="AA7" s="70" t="s">
        <v>63</v>
      </c>
      <c r="AB7" s="68">
        <f t="shared" si="5"/>
        <v>-4</v>
      </c>
      <c r="AC7" s="73">
        <v>42730</v>
      </c>
      <c r="AD7" s="73">
        <v>43100</v>
      </c>
      <c r="AE7" s="70" t="s">
        <v>57</v>
      </c>
      <c r="AF7" s="71">
        <v>0</v>
      </c>
      <c r="AG7" s="71">
        <v>0</v>
      </c>
      <c r="AH7" s="32">
        <f t="shared" si="6"/>
        <v>4</v>
      </c>
      <c r="AI7" s="71">
        <v>0</v>
      </c>
      <c r="AJ7" s="33">
        <f t="shared" si="7"/>
        <v>0</v>
      </c>
      <c r="AK7" s="69">
        <f t="shared" si="8"/>
        <v>10496</v>
      </c>
      <c r="AL7" s="69">
        <f t="shared" si="9"/>
        <v>0</v>
      </c>
      <c r="AM7" s="70" t="s">
        <v>39</v>
      </c>
      <c r="AN7" s="70" t="s">
        <v>59</v>
      </c>
      <c r="AO7" s="70" t="s">
        <v>84</v>
      </c>
    </row>
    <row r="8" spans="1:41" x14ac:dyDescent="0.25">
      <c r="A8" s="70" t="s">
        <v>94</v>
      </c>
      <c r="B8" s="70">
        <v>2017</v>
      </c>
      <c r="C8" s="70" t="s">
        <v>34</v>
      </c>
      <c r="D8" s="70" t="s">
        <v>34</v>
      </c>
      <c r="E8" s="70" t="s">
        <v>134</v>
      </c>
      <c r="F8" s="70">
        <v>5627</v>
      </c>
      <c r="G8" s="70" t="s">
        <v>187</v>
      </c>
      <c r="H8" s="71">
        <v>0</v>
      </c>
      <c r="I8" s="71">
        <v>0</v>
      </c>
      <c r="J8" s="71">
        <v>0</v>
      </c>
      <c r="K8" s="71">
        <v>0</v>
      </c>
      <c r="L8" s="71">
        <v>0</v>
      </c>
      <c r="M8" s="71">
        <v>0</v>
      </c>
      <c r="N8" s="71">
        <v>0</v>
      </c>
      <c r="O8" s="71">
        <v>0</v>
      </c>
      <c r="P8" s="71">
        <v>0</v>
      </c>
      <c r="Q8" s="71">
        <v>0</v>
      </c>
      <c r="R8" s="71">
        <v>1</v>
      </c>
      <c r="S8" s="71">
        <v>0</v>
      </c>
      <c r="T8" s="68">
        <f t="shared" si="1"/>
        <v>1</v>
      </c>
      <c r="U8" s="71">
        <v>0</v>
      </c>
      <c r="V8" s="33">
        <f t="shared" si="2"/>
        <v>0</v>
      </c>
      <c r="W8" s="69">
        <f t="shared" si="3"/>
        <v>2624</v>
      </c>
      <c r="X8" s="69">
        <f t="shared" si="4"/>
        <v>0</v>
      </c>
      <c r="Y8" s="70" t="s">
        <v>188</v>
      </c>
      <c r="Z8" s="72">
        <v>2624</v>
      </c>
      <c r="AA8" s="70" t="s">
        <v>95</v>
      </c>
      <c r="AB8" s="68">
        <f t="shared" si="5"/>
        <v>-1</v>
      </c>
      <c r="AC8" s="73">
        <v>43012</v>
      </c>
      <c r="AD8" s="73">
        <v>43100</v>
      </c>
      <c r="AE8" s="70" t="s">
        <v>57</v>
      </c>
      <c r="AF8" s="71">
        <v>0</v>
      </c>
      <c r="AG8" s="71">
        <v>0</v>
      </c>
      <c r="AH8" s="32">
        <f t="shared" si="6"/>
        <v>1</v>
      </c>
      <c r="AI8" s="71">
        <v>0</v>
      </c>
      <c r="AJ8" s="33">
        <f t="shared" si="7"/>
        <v>0</v>
      </c>
      <c r="AK8" s="69">
        <f t="shared" si="8"/>
        <v>2624</v>
      </c>
      <c r="AL8" s="69">
        <f t="shared" si="9"/>
        <v>0</v>
      </c>
      <c r="AM8" s="70" t="s">
        <v>39</v>
      </c>
      <c r="AN8" s="70" t="s">
        <v>59</v>
      </c>
      <c r="AO8" s="70" t="s">
        <v>84</v>
      </c>
    </row>
    <row r="9" spans="1:41" x14ac:dyDescent="0.25">
      <c r="A9" s="70" t="s">
        <v>62</v>
      </c>
      <c r="B9" s="70">
        <v>2017</v>
      </c>
      <c r="C9" s="70" t="s">
        <v>34</v>
      </c>
      <c r="D9" s="70" t="s">
        <v>34</v>
      </c>
      <c r="E9" s="70" t="s">
        <v>134</v>
      </c>
      <c r="F9" s="70">
        <v>5627</v>
      </c>
      <c r="G9" s="70" t="s">
        <v>187</v>
      </c>
      <c r="H9" s="71">
        <v>0</v>
      </c>
      <c r="I9" s="71">
        <v>0</v>
      </c>
      <c r="J9" s="71">
        <v>0</v>
      </c>
      <c r="K9" s="71">
        <v>0</v>
      </c>
      <c r="L9" s="71">
        <v>0</v>
      </c>
      <c r="M9" s="71">
        <v>0</v>
      </c>
      <c r="N9" s="71">
        <v>0</v>
      </c>
      <c r="O9" s="71">
        <v>6</v>
      </c>
      <c r="P9" s="71">
        <v>1</v>
      </c>
      <c r="Q9" s="71">
        <v>0</v>
      </c>
      <c r="R9" s="71">
        <v>0</v>
      </c>
      <c r="S9" s="71">
        <v>0</v>
      </c>
      <c r="T9" s="68">
        <f t="shared" si="1"/>
        <v>7</v>
      </c>
      <c r="U9" s="71">
        <v>0</v>
      </c>
      <c r="V9" s="33">
        <f t="shared" si="2"/>
        <v>0</v>
      </c>
      <c r="W9" s="69">
        <f t="shared" si="3"/>
        <v>18368</v>
      </c>
      <c r="X9" s="69">
        <f t="shared" si="4"/>
        <v>0</v>
      </c>
      <c r="Y9" s="70" t="s">
        <v>188</v>
      </c>
      <c r="Z9" s="72">
        <v>2624</v>
      </c>
      <c r="AA9" s="70" t="s">
        <v>63</v>
      </c>
      <c r="AB9" s="68">
        <f t="shared" si="5"/>
        <v>-7</v>
      </c>
      <c r="AC9" s="73">
        <v>42730</v>
      </c>
      <c r="AD9" s="73">
        <v>43100</v>
      </c>
      <c r="AE9" s="70" t="s">
        <v>57</v>
      </c>
      <c r="AF9" s="71">
        <v>0</v>
      </c>
      <c r="AG9" s="71">
        <v>0</v>
      </c>
      <c r="AH9" s="32">
        <f t="shared" si="6"/>
        <v>7</v>
      </c>
      <c r="AI9" s="71">
        <v>0</v>
      </c>
      <c r="AJ9" s="33">
        <f t="shared" si="7"/>
        <v>0</v>
      </c>
      <c r="AK9" s="69">
        <f t="shared" si="8"/>
        <v>18368</v>
      </c>
      <c r="AL9" s="69">
        <f t="shared" si="9"/>
        <v>0</v>
      </c>
      <c r="AM9" s="70" t="s">
        <v>39</v>
      </c>
      <c r="AN9" s="70" t="s">
        <v>59</v>
      </c>
      <c r="AO9" s="70" t="s">
        <v>84</v>
      </c>
    </row>
    <row r="10" spans="1:41" x14ac:dyDescent="0.25">
      <c r="A10" s="70" t="s">
        <v>94</v>
      </c>
      <c r="B10" s="70">
        <v>2017</v>
      </c>
      <c r="C10" s="70" t="s">
        <v>34</v>
      </c>
      <c r="D10" s="70" t="s">
        <v>34</v>
      </c>
      <c r="E10" s="70" t="s">
        <v>103</v>
      </c>
      <c r="F10" s="70">
        <v>5627</v>
      </c>
      <c r="G10" s="70" t="s">
        <v>187</v>
      </c>
      <c r="H10" s="71">
        <v>0</v>
      </c>
      <c r="I10" s="71">
        <v>0</v>
      </c>
      <c r="J10" s="71">
        <v>0</v>
      </c>
      <c r="K10" s="71">
        <v>0</v>
      </c>
      <c r="L10" s="71">
        <v>0</v>
      </c>
      <c r="M10" s="71">
        <v>0</v>
      </c>
      <c r="N10" s="71">
        <v>0</v>
      </c>
      <c r="O10" s="71">
        <v>0</v>
      </c>
      <c r="P10" s="71">
        <v>0</v>
      </c>
      <c r="Q10" s="71">
        <v>3</v>
      </c>
      <c r="R10" s="71">
        <v>1</v>
      </c>
      <c r="S10" s="71">
        <v>0</v>
      </c>
      <c r="T10" s="68">
        <f t="shared" si="1"/>
        <v>4</v>
      </c>
      <c r="U10" s="71">
        <v>0</v>
      </c>
      <c r="V10" s="33">
        <f t="shared" si="2"/>
        <v>0</v>
      </c>
      <c r="W10" s="69">
        <f t="shared" si="3"/>
        <v>10496</v>
      </c>
      <c r="X10" s="69">
        <f t="shared" si="4"/>
        <v>0</v>
      </c>
      <c r="Y10" s="70" t="s">
        <v>188</v>
      </c>
      <c r="Z10" s="72">
        <v>2624</v>
      </c>
      <c r="AA10" s="70" t="s">
        <v>95</v>
      </c>
      <c r="AB10" s="68">
        <f t="shared" si="5"/>
        <v>-4</v>
      </c>
      <c r="AC10" s="73">
        <v>43012</v>
      </c>
      <c r="AD10" s="73">
        <v>43100</v>
      </c>
      <c r="AE10" s="70" t="s">
        <v>57</v>
      </c>
      <c r="AF10" s="71">
        <v>0</v>
      </c>
      <c r="AG10" s="71">
        <v>0</v>
      </c>
      <c r="AH10" s="32">
        <f t="shared" si="6"/>
        <v>4</v>
      </c>
      <c r="AI10" s="71">
        <v>0</v>
      </c>
      <c r="AJ10" s="33">
        <f t="shared" si="7"/>
        <v>0</v>
      </c>
      <c r="AK10" s="69">
        <f t="shared" si="8"/>
        <v>10496</v>
      </c>
      <c r="AL10" s="69">
        <f t="shared" si="9"/>
        <v>0</v>
      </c>
      <c r="AM10" s="70" t="s">
        <v>39</v>
      </c>
      <c r="AN10" s="70" t="s">
        <v>59</v>
      </c>
      <c r="AO10" s="70" t="s">
        <v>84</v>
      </c>
    </row>
    <row r="11" spans="1:41" x14ac:dyDescent="0.25">
      <c r="A11" s="70" t="s">
        <v>62</v>
      </c>
      <c r="B11" s="70">
        <v>2017</v>
      </c>
      <c r="C11" s="70" t="s">
        <v>34</v>
      </c>
      <c r="D11" s="70" t="s">
        <v>34</v>
      </c>
      <c r="E11" s="70" t="s">
        <v>103</v>
      </c>
      <c r="F11" s="70">
        <v>5627</v>
      </c>
      <c r="G11" s="70" t="s">
        <v>187</v>
      </c>
      <c r="H11" s="71">
        <v>0</v>
      </c>
      <c r="I11" s="71">
        <v>0</v>
      </c>
      <c r="J11" s="71">
        <v>0</v>
      </c>
      <c r="K11" s="71">
        <v>0</v>
      </c>
      <c r="L11" s="71">
        <v>0</v>
      </c>
      <c r="M11" s="71">
        <v>0</v>
      </c>
      <c r="N11" s="71">
        <v>0</v>
      </c>
      <c r="O11" s="71">
        <v>0</v>
      </c>
      <c r="P11" s="71">
        <v>16</v>
      </c>
      <c r="Q11" s="71">
        <v>0</v>
      </c>
      <c r="R11" s="71">
        <v>0</v>
      </c>
      <c r="S11" s="71">
        <v>0</v>
      </c>
      <c r="T11" s="68">
        <f t="shared" si="1"/>
        <v>16</v>
      </c>
      <c r="U11" s="71">
        <v>0</v>
      </c>
      <c r="V11" s="33">
        <f t="shared" si="2"/>
        <v>0</v>
      </c>
      <c r="W11" s="69">
        <f t="shared" si="3"/>
        <v>41984</v>
      </c>
      <c r="X11" s="69">
        <f t="shared" si="4"/>
        <v>0</v>
      </c>
      <c r="Y11" s="70" t="s">
        <v>188</v>
      </c>
      <c r="Z11" s="72">
        <v>2624</v>
      </c>
      <c r="AA11" s="70" t="s">
        <v>63</v>
      </c>
      <c r="AB11" s="68">
        <f t="shared" si="5"/>
        <v>-16</v>
      </c>
      <c r="AC11" s="73">
        <v>42730</v>
      </c>
      <c r="AD11" s="73">
        <v>43100</v>
      </c>
      <c r="AE11" s="70" t="s">
        <v>57</v>
      </c>
      <c r="AF11" s="71">
        <v>0</v>
      </c>
      <c r="AG11" s="71">
        <v>0</v>
      </c>
      <c r="AH11" s="32">
        <f t="shared" si="6"/>
        <v>16</v>
      </c>
      <c r="AI11" s="71">
        <v>0</v>
      </c>
      <c r="AJ11" s="33">
        <f t="shared" si="7"/>
        <v>0</v>
      </c>
      <c r="AK11" s="69">
        <f t="shared" si="8"/>
        <v>41984</v>
      </c>
      <c r="AL11" s="69">
        <f t="shared" si="9"/>
        <v>0</v>
      </c>
      <c r="AM11" s="70" t="s">
        <v>39</v>
      </c>
      <c r="AN11" s="70" t="s">
        <v>59</v>
      </c>
      <c r="AO11" s="70" t="s">
        <v>84</v>
      </c>
    </row>
    <row r="12" spans="1:41" x14ac:dyDescent="0.25">
      <c r="A12" s="70" t="s">
        <v>94</v>
      </c>
      <c r="B12" s="70">
        <v>2017</v>
      </c>
      <c r="C12" s="70" t="s">
        <v>34</v>
      </c>
      <c r="D12" s="70" t="s">
        <v>34</v>
      </c>
      <c r="E12" s="70" t="s">
        <v>35</v>
      </c>
      <c r="F12" s="70">
        <v>5627</v>
      </c>
      <c r="G12" s="70" t="s">
        <v>187</v>
      </c>
      <c r="H12" s="71">
        <v>0</v>
      </c>
      <c r="I12" s="71">
        <v>0</v>
      </c>
      <c r="J12" s="71">
        <v>0</v>
      </c>
      <c r="K12" s="71">
        <v>0</v>
      </c>
      <c r="L12" s="71">
        <v>0</v>
      </c>
      <c r="M12" s="71">
        <v>0</v>
      </c>
      <c r="N12" s="71">
        <v>0</v>
      </c>
      <c r="O12" s="71">
        <v>0</v>
      </c>
      <c r="P12" s="71">
        <v>0</v>
      </c>
      <c r="Q12" s="71">
        <v>0</v>
      </c>
      <c r="R12" s="71">
        <v>0</v>
      </c>
      <c r="S12" s="71">
        <v>3</v>
      </c>
      <c r="T12" s="68">
        <f t="shared" si="1"/>
        <v>3</v>
      </c>
      <c r="U12" s="71">
        <v>0</v>
      </c>
      <c r="V12" s="33">
        <f t="shared" si="2"/>
        <v>0</v>
      </c>
      <c r="W12" s="69">
        <f t="shared" si="3"/>
        <v>7872</v>
      </c>
      <c r="X12" s="69">
        <f t="shared" si="4"/>
        <v>0</v>
      </c>
      <c r="Y12" s="70" t="s">
        <v>188</v>
      </c>
      <c r="Z12" s="72">
        <v>2624</v>
      </c>
      <c r="AA12" s="70" t="s">
        <v>95</v>
      </c>
      <c r="AB12" s="68">
        <f t="shared" si="5"/>
        <v>-3</v>
      </c>
      <c r="AC12" s="73">
        <v>43012</v>
      </c>
      <c r="AD12" s="73">
        <v>43100</v>
      </c>
      <c r="AE12" s="70" t="s">
        <v>57</v>
      </c>
      <c r="AF12" s="71">
        <v>0</v>
      </c>
      <c r="AG12" s="71">
        <v>0</v>
      </c>
      <c r="AH12" s="32">
        <f t="shared" si="6"/>
        <v>3</v>
      </c>
      <c r="AI12" s="71">
        <v>0</v>
      </c>
      <c r="AJ12" s="33">
        <f t="shared" si="7"/>
        <v>0</v>
      </c>
      <c r="AK12" s="69">
        <f t="shared" si="8"/>
        <v>7872</v>
      </c>
      <c r="AL12" s="69">
        <f t="shared" si="9"/>
        <v>0</v>
      </c>
      <c r="AM12" s="70" t="s">
        <v>39</v>
      </c>
      <c r="AN12" s="70" t="s">
        <v>59</v>
      </c>
      <c r="AO12" s="70" t="s">
        <v>84</v>
      </c>
    </row>
    <row r="13" spans="1:41" x14ac:dyDescent="0.25">
      <c r="A13" s="70" t="s">
        <v>94</v>
      </c>
      <c r="B13" s="70">
        <v>2017</v>
      </c>
      <c r="C13" s="70" t="s">
        <v>34</v>
      </c>
      <c r="D13" s="70" t="s">
        <v>34</v>
      </c>
      <c r="E13" s="70" t="s">
        <v>104</v>
      </c>
      <c r="F13" s="70">
        <v>5627</v>
      </c>
      <c r="G13" s="70" t="s">
        <v>187</v>
      </c>
      <c r="H13" s="71">
        <v>0</v>
      </c>
      <c r="I13" s="71">
        <v>0</v>
      </c>
      <c r="J13" s="71">
        <v>0</v>
      </c>
      <c r="K13" s="71">
        <v>0</v>
      </c>
      <c r="L13" s="71">
        <v>0</v>
      </c>
      <c r="M13" s="71">
        <v>0</v>
      </c>
      <c r="N13" s="71">
        <v>0</v>
      </c>
      <c r="O13" s="71">
        <v>0</v>
      </c>
      <c r="P13" s="71">
        <v>0</v>
      </c>
      <c r="Q13" s="71">
        <v>5</v>
      </c>
      <c r="R13" s="71">
        <v>6</v>
      </c>
      <c r="S13" s="71">
        <v>17</v>
      </c>
      <c r="T13" s="68">
        <f t="shared" si="1"/>
        <v>28</v>
      </c>
      <c r="U13" s="71">
        <v>0</v>
      </c>
      <c r="V13" s="33">
        <f t="shared" si="2"/>
        <v>0</v>
      </c>
      <c r="W13" s="69">
        <f t="shared" si="3"/>
        <v>73472</v>
      </c>
      <c r="X13" s="69">
        <f t="shared" si="4"/>
        <v>0</v>
      </c>
      <c r="Y13" s="70" t="s">
        <v>188</v>
      </c>
      <c r="Z13" s="72">
        <v>2624</v>
      </c>
      <c r="AA13" s="70" t="s">
        <v>95</v>
      </c>
      <c r="AB13" s="68">
        <f t="shared" si="5"/>
        <v>-28</v>
      </c>
      <c r="AC13" s="73">
        <v>43012</v>
      </c>
      <c r="AD13" s="73">
        <v>43100</v>
      </c>
      <c r="AE13" s="70" t="s">
        <v>57</v>
      </c>
      <c r="AF13" s="71">
        <v>0</v>
      </c>
      <c r="AG13" s="71">
        <v>0</v>
      </c>
      <c r="AH13" s="32">
        <f t="shared" si="6"/>
        <v>28</v>
      </c>
      <c r="AI13" s="71">
        <v>0</v>
      </c>
      <c r="AJ13" s="33">
        <f t="shared" si="7"/>
        <v>0</v>
      </c>
      <c r="AK13" s="69">
        <f t="shared" si="8"/>
        <v>73472</v>
      </c>
      <c r="AL13" s="69">
        <f t="shared" si="9"/>
        <v>0</v>
      </c>
      <c r="AM13" s="70" t="s">
        <v>39</v>
      </c>
      <c r="AN13" s="70" t="s">
        <v>59</v>
      </c>
      <c r="AO13" s="70" t="s">
        <v>84</v>
      </c>
    </row>
    <row r="14" spans="1:41" x14ac:dyDescent="0.25">
      <c r="A14" s="70" t="s">
        <v>62</v>
      </c>
      <c r="B14" s="70">
        <v>2017</v>
      </c>
      <c r="C14" s="70" t="s">
        <v>34</v>
      </c>
      <c r="D14" s="70" t="s">
        <v>34</v>
      </c>
      <c r="E14" s="70" t="s">
        <v>104</v>
      </c>
      <c r="F14" s="70">
        <v>5627</v>
      </c>
      <c r="G14" s="70" t="s">
        <v>187</v>
      </c>
      <c r="H14" s="71">
        <v>4</v>
      </c>
      <c r="I14" s="71">
        <v>3</v>
      </c>
      <c r="J14" s="71">
        <v>12</v>
      </c>
      <c r="K14" s="71">
        <v>4</v>
      </c>
      <c r="L14" s="71">
        <v>13</v>
      </c>
      <c r="M14" s="71">
        <v>15</v>
      </c>
      <c r="N14" s="71">
        <v>5</v>
      </c>
      <c r="O14" s="71">
        <v>15</v>
      </c>
      <c r="P14" s="71">
        <v>9</v>
      </c>
      <c r="Q14" s="71">
        <v>2</v>
      </c>
      <c r="R14" s="71">
        <v>0</v>
      </c>
      <c r="S14" s="71">
        <v>0</v>
      </c>
      <c r="T14" s="68">
        <f t="shared" si="1"/>
        <v>82</v>
      </c>
      <c r="U14" s="71">
        <v>0</v>
      </c>
      <c r="V14" s="33">
        <f t="shared" si="2"/>
        <v>0</v>
      </c>
      <c r="W14" s="69">
        <f t="shared" si="3"/>
        <v>215168</v>
      </c>
      <c r="X14" s="69">
        <f t="shared" si="4"/>
        <v>0</v>
      </c>
      <c r="Y14" s="70" t="s">
        <v>188</v>
      </c>
      <c r="Z14" s="72">
        <v>2624</v>
      </c>
      <c r="AA14" s="70" t="s">
        <v>63</v>
      </c>
      <c r="AB14" s="68">
        <f t="shared" si="5"/>
        <v>-82</v>
      </c>
      <c r="AC14" s="73">
        <v>42730</v>
      </c>
      <c r="AD14" s="73">
        <v>43100</v>
      </c>
      <c r="AE14" s="70" t="s">
        <v>57</v>
      </c>
      <c r="AF14" s="71">
        <v>0</v>
      </c>
      <c r="AG14" s="71">
        <v>0</v>
      </c>
      <c r="AH14" s="32">
        <f t="shared" si="6"/>
        <v>82</v>
      </c>
      <c r="AI14" s="71">
        <v>0</v>
      </c>
      <c r="AJ14" s="33">
        <f t="shared" si="7"/>
        <v>0</v>
      </c>
      <c r="AK14" s="69">
        <f t="shared" si="8"/>
        <v>215168</v>
      </c>
      <c r="AL14" s="69">
        <f t="shared" si="9"/>
        <v>0</v>
      </c>
      <c r="AM14" s="70" t="s">
        <v>39</v>
      </c>
      <c r="AN14" s="70" t="s">
        <v>59</v>
      </c>
      <c r="AO14" s="70" t="s">
        <v>84</v>
      </c>
    </row>
    <row r="15" spans="1:41" x14ac:dyDescent="0.25">
      <c r="A15" s="70" t="s">
        <v>94</v>
      </c>
      <c r="B15" s="70">
        <v>2017</v>
      </c>
      <c r="C15" s="70" t="s">
        <v>34</v>
      </c>
      <c r="D15" s="70" t="s">
        <v>34</v>
      </c>
      <c r="E15" s="70" t="s">
        <v>105</v>
      </c>
      <c r="F15" s="70">
        <v>5627</v>
      </c>
      <c r="G15" s="70" t="s">
        <v>187</v>
      </c>
      <c r="H15" s="71">
        <v>0</v>
      </c>
      <c r="I15" s="71">
        <v>0</v>
      </c>
      <c r="J15" s="71">
        <v>0</v>
      </c>
      <c r="K15" s="71">
        <v>0</v>
      </c>
      <c r="L15" s="71">
        <v>0</v>
      </c>
      <c r="M15" s="71">
        <v>0</v>
      </c>
      <c r="N15" s="71">
        <v>0</v>
      </c>
      <c r="O15" s="71">
        <v>0</v>
      </c>
      <c r="P15" s="71">
        <v>0</v>
      </c>
      <c r="Q15" s="71">
        <v>2</v>
      </c>
      <c r="R15" s="71">
        <v>4</v>
      </c>
      <c r="S15" s="71">
        <v>4</v>
      </c>
      <c r="T15" s="68">
        <f t="shared" si="1"/>
        <v>10</v>
      </c>
      <c r="U15" s="71">
        <v>0</v>
      </c>
      <c r="V15" s="33">
        <f t="shared" si="2"/>
        <v>0</v>
      </c>
      <c r="W15" s="69">
        <f t="shared" si="3"/>
        <v>26240</v>
      </c>
      <c r="X15" s="69">
        <f t="shared" si="4"/>
        <v>0</v>
      </c>
      <c r="Y15" s="70" t="s">
        <v>188</v>
      </c>
      <c r="Z15" s="72">
        <v>2624</v>
      </c>
      <c r="AA15" s="70" t="s">
        <v>95</v>
      </c>
      <c r="AB15" s="68">
        <f t="shared" si="5"/>
        <v>-10</v>
      </c>
      <c r="AC15" s="73">
        <v>43012</v>
      </c>
      <c r="AD15" s="73">
        <v>43100</v>
      </c>
      <c r="AE15" s="70" t="s">
        <v>57</v>
      </c>
      <c r="AF15" s="71">
        <v>0</v>
      </c>
      <c r="AG15" s="71">
        <v>0</v>
      </c>
      <c r="AH15" s="32">
        <f t="shared" si="6"/>
        <v>10</v>
      </c>
      <c r="AI15" s="71">
        <v>0</v>
      </c>
      <c r="AJ15" s="33">
        <f t="shared" si="7"/>
        <v>0</v>
      </c>
      <c r="AK15" s="69">
        <f t="shared" si="8"/>
        <v>26240</v>
      </c>
      <c r="AL15" s="69">
        <f t="shared" si="9"/>
        <v>0</v>
      </c>
      <c r="AM15" s="70" t="s">
        <v>39</v>
      </c>
      <c r="AN15" s="70" t="s">
        <v>59</v>
      </c>
      <c r="AO15" s="70" t="s">
        <v>84</v>
      </c>
    </row>
    <row r="16" spans="1:41" x14ac:dyDescent="0.25">
      <c r="A16" s="70" t="s">
        <v>62</v>
      </c>
      <c r="B16" s="70">
        <v>2017</v>
      </c>
      <c r="C16" s="70" t="s">
        <v>34</v>
      </c>
      <c r="D16" s="70" t="s">
        <v>34</v>
      </c>
      <c r="E16" s="70" t="s">
        <v>105</v>
      </c>
      <c r="F16" s="70">
        <v>5627</v>
      </c>
      <c r="G16" s="70" t="s">
        <v>187</v>
      </c>
      <c r="H16" s="71">
        <v>0</v>
      </c>
      <c r="I16" s="71">
        <v>0</v>
      </c>
      <c r="J16" s="71">
        <v>0</v>
      </c>
      <c r="K16" s="71">
        <v>0</v>
      </c>
      <c r="L16" s="71">
        <v>2</v>
      </c>
      <c r="M16" s="71">
        <v>0</v>
      </c>
      <c r="N16" s="71">
        <v>3</v>
      </c>
      <c r="O16" s="71">
        <v>2</v>
      </c>
      <c r="P16" s="71">
        <v>0</v>
      </c>
      <c r="Q16" s="71">
        <v>0</v>
      </c>
      <c r="R16" s="71">
        <v>0</v>
      </c>
      <c r="S16" s="71">
        <v>0</v>
      </c>
      <c r="T16" s="68">
        <f t="shared" si="1"/>
        <v>7</v>
      </c>
      <c r="U16" s="71">
        <v>0</v>
      </c>
      <c r="V16" s="33">
        <f t="shared" si="2"/>
        <v>0</v>
      </c>
      <c r="W16" s="69">
        <f t="shared" si="3"/>
        <v>18368</v>
      </c>
      <c r="X16" s="69">
        <f t="shared" si="4"/>
        <v>0</v>
      </c>
      <c r="Y16" s="70" t="s">
        <v>188</v>
      </c>
      <c r="Z16" s="72">
        <v>2624</v>
      </c>
      <c r="AA16" s="70" t="s">
        <v>63</v>
      </c>
      <c r="AB16" s="68">
        <f t="shared" si="5"/>
        <v>-7</v>
      </c>
      <c r="AC16" s="73">
        <v>42730</v>
      </c>
      <c r="AD16" s="73">
        <v>43100</v>
      </c>
      <c r="AE16" s="70" t="s">
        <v>57</v>
      </c>
      <c r="AF16" s="71">
        <v>0</v>
      </c>
      <c r="AG16" s="71">
        <v>0</v>
      </c>
      <c r="AH16" s="32">
        <f t="shared" si="6"/>
        <v>7</v>
      </c>
      <c r="AI16" s="71">
        <v>0</v>
      </c>
      <c r="AJ16" s="33">
        <f t="shared" si="7"/>
        <v>0</v>
      </c>
      <c r="AK16" s="69">
        <f t="shared" si="8"/>
        <v>18368</v>
      </c>
      <c r="AL16" s="69">
        <f t="shared" si="9"/>
        <v>0</v>
      </c>
      <c r="AM16" s="70" t="s">
        <v>39</v>
      </c>
      <c r="AN16" s="70" t="s">
        <v>59</v>
      </c>
      <c r="AO16" s="70" t="s">
        <v>84</v>
      </c>
    </row>
    <row r="17" spans="1:41" x14ac:dyDescent="0.25">
      <c r="A17" s="70" t="s">
        <v>94</v>
      </c>
      <c r="B17" s="70">
        <v>2017</v>
      </c>
      <c r="C17" s="70" t="s">
        <v>34</v>
      </c>
      <c r="D17" s="70" t="s">
        <v>34</v>
      </c>
      <c r="E17" s="70" t="s">
        <v>106</v>
      </c>
      <c r="F17" s="70">
        <v>5627</v>
      </c>
      <c r="G17" s="70" t="s">
        <v>187</v>
      </c>
      <c r="H17" s="71">
        <v>0</v>
      </c>
      <c r="I17" s="71">
        <v>0</v>
      </c>
      <c r="J17" s="71">
        <v>0</v>
      </c>
      <c r="K17" s="71">
        <v>0</v>
      </c>
      <c r="L17" s="71">
        <v>0</v>
      </c>
      <c r="M17" s="71">
        <v>0</v>
      </c>
      <c r="N17" s="71">
        <v>0</v>
      </c>
      <c r="O17" s="71">
        <v>0</v>
      </c>
      <c r="P17" s="71">
        <v>0</v>
      </c>
      <c r="Q17" s="71">
        <v>0</v>
      </c>
      <c r="R17" s="71">
        <v>2</v>
      </c>
      <c r="S17" s="71">
        <v>1</v>
      </c>
      <c r="T17" s="68">
        <f t="shared" si="1"/>
        <v>3</v>
      </c>
      <c r="U17" s="71">
        <v>0</v>
      </c>
      <c r="V17" s="33">
        <f t="shared" si="2"/>
        <v>0</v>
      </c>
      <c r="W17" s="69">
        <f t="shared" si="3"/>
        <v>7872</v>
      </c>
      <c r="X17" s="69">
        <f t="shared" si="4"/>
        <v>0</v>
      </c>
      <c r="Y17" s="70" t="s">
        <v>188</v>
      </c>
      <c r="Z17" s="72">
        <v>2624</v>
      </c>
      <c r="AA17" s="70" t="s">
        <v>95</v>
      </c>
      <c r="AB17" s="68">
        <f t="shared" si="5"/>
        <v>-3</v>
      </c>
      <c r="AC17" s="73">
        <v>43012</v>
      </c>
      <c r="AD17" s="73">
        <v>43100</v>
      </c>
      <c r="AE17" s="70" t="s">
        <v>57</v>
      </c>
      <c r="AF17" s="71">
        <v>0</v>
      </c>
      <c r="AG17" s="71">
        <v>0</v>
      </c>
      <c r="AH17" s="32">
        <f t="shared" si="6"/>
        <v>3</v>
      </c>
      <c r="AI17" s="71">
        <v>0</v>
      </c>
      <c r="AJ17" s="33">
        <f t="shared" si="7"/>
        <v>0</v>
      </c>
      <c r="AK17" s="69">
        <f t="shared" si="8"/>
        <v>7872</v>
      </c>
      <c r="AL17" s="69">
        <f t="shared" si="9"/>
        <v>0</v>
      </c>
      <c r="AM17" s="70" t="s">
        <v>39</v>
      </c>
      <c r="AN17" s="70" t="s">
        <v>59</v>
      </c>
      <c r="AO17" s="70" t="s">
        <v>84</v>
      </c>
    </row>
    <row r="18" spans="1:41" x14ac:dyDescent="0.25">
      <c r="A18" s="70" t="s">
        <v>94</v>
      </c>
      <c r="B18" s="70">
        <v>2017</v>
      </c>
      <c r="C18" s="70" t="s">
        <v>34</v>
      </c>
      <c r="D18" s="70" t="s">
        <v>34</v>
      </c>
      <c r="E18" s="70" t="s">
        <v>107</v>
      </c>
      <c r="F18" s="70">
        <v>5627</v>
      </c>
      <c r="G18" s="70" t="s">
        <v>187</v>
      </c>
      <c r="H18" s="71">
        <v>0</v>
      </c>
      <c r="I18" s="71">
        <v>0</v>
      </c>
      <c r="J18" s="71">
        <v>0</v>
      </c>
      <c r="K18" s="71">
        <v>0</v>
      </c>
      <c r="L18" s="71">
        <v>0</v>
      </c>
      <c r="M18" s="71">
        <v>0</v>
      </c>
      <c r="N18" s="71">
        <v>0</v>
      </c>
      <c r="O18" s="71">
        <v>0</v>
      </c>
      <c r="P18" s="71">
        <v>0</v>
      </c>
      <c r="Q18" s="71">
        <v>2</v>
      </c>
      <c r="R18" s="71">
        <v>4</v>
      </c>
      <c r="S18" s="71">
        <v>11</v>
      </c>
      <c r="T18" s="68">
        <f t="shared" si="1"/>
        <v>17</v>
      </c>
      <c r="U18" s="71">
        <v>0</v>
      </c>
      <c r="V18" s="33">
        <f t="shared" si="2"/>
        <v>0</v>
      </c>
      <c r="W18" s="69">
        <f t="shared" si="3"/>
        <v>44608</v>
      </c>
      <c r="X18" s="69">
        <f t="shared" si="4"/>
        <v>0</v>
      </c>
      <c r="Y18" s="70" t="s">
        <v>188</v>
      </c>
      <c r="Z18" s="72">
        <v>2624</v>
      </c>
      <c r="AA18" s="70" t="s">
        <v>95</v>
      </c>
      <c r="AB18" s="68">
        <f t="shared" si="5"/>
        <v>-17</v>
      </c>
      <c r="AC18" s="73">
        <v>43012</v>
      </c>
      <c r="AD18" s="73">
        <v>43100</v>
      </c>
      <c r="AE18" s="70" t="s">
        <v>57</v>
      </c>
      <c r="AF18" s="71">
        <v>0</v>
      </c>
      <c r="AG18" s="71">
        <v>0</v>
      </c>
      <c r="AH18" s="32">
        <f t="shared" si="6"/>
        <v>17</v>
      </c>
      <c r="AI18" s="71">
        <v>0</v>
      </c>
      <c r="AJ18" s="33">
        <f t="shared" si="7"/>
        <v>0</v>
      </c>
      <c r="AK18" s="69">
        <f t="shared" si="8"/>
        <v>44608</v>
      </c>
      <c r="AL18" s="69">
        <f t="shared" si="9"/>
        <v>0</v>
      </c>
      <c r="AM18" s="70" t="s">
        <v>39</v>
      </c>
      <c r="AN18" s="70" t="s">
        <v>59</v>
      </c>
      <c r="AO18" s="70" t="s">
        <v>84</v>
      </c>
    </row>
    <row r="19" spans="1:41" x14ac:dyDescent="0.25">
      <c r="A19" s="70" t="s">
        <v>62</v>
      </c>
      <c r="B19" s="70">
        <v>2017</v>
      </c>
      <c r="C19" s="70" t="s">
        <v>34</v>
      </c>
      <c r="D19" s="70" t="s">
        <v>34</v>
      </c>
      <c r="E19" s="70" t="s">
        <v>107</v>
      </c>
      <c r="F19" s="70">
        <v>5627</v>
      </c>
      <c r="G19" s="70" t="s">
        <v>187</v>
      </c>
      <c r="H19" s="71">
        <v>1</v>
      </c>
      <c r="I19" s="71">
        <v>3</v>
      </c>
      <c r="J19" s="71">
        <v>1</v>
      </c>
      <c r="K19" s="71">
        <v>2</v>
      </c>
      <c r="L19" s="71">
        <v>1</v>
      </c>
      <c r="M19" s="71">
        <v>5</v>
      </c>
      <c r="N19" s="71">
        <v>3</v>
      </c>
      <c r="O19" s="71">
        <v>7</v>
      </c>
      <c r="P19" s="71">
        <v>4</v>
      </c>
      <c r="Q19" s="71">
        <v>5</v>
      </c>
      <c r="R19" s="71">
        <v>0</v>
      </c>
      <c r="S19" s="71">
        <v>0</v>
      </c>
      <c r="T19" s="68">
        <f t="shared" si="1"/>
        <v>32</v>
      </c>
      <c r="U19" s="71">
        <v>0</v>
      </c>
      <c r="V19" s="33">
        <f t="shared" si="2"/>
        <v>0</v>
      </c>
      <c r="W19" s="69">
        <f t="shared" si="3"/>
        <v>83968</v>
      </c>
      <c r="X19" s="69">
        <f t="shared" si="4"/>
        <v>0</v>
      </c>
      <c r="Y19" s="70" t="s">
        <v>188</v>
      </c>
      <c r="Z19" s="72">
        <v>2624</v>
      </c>
      <c r="AA19" s="70" t="s">
        <v>63</v>
      </c>
      <c r="AB19" s="68">
        <f t="shared" si="5"/>
        <v>-32</v>
      </c>
      <c r="AC19" s="73">
        <v>42730</v>
      </c>
      <c r="AD19" s="73">
        <v>43100</v>
      </c>
      <c r="AE19" s="70" t="s">
        <v>57</v>
      </c>
      <c r="AF19" s="71">
        <v>0</v>
      </c>
      <c r="AG19" s="71">
        <v>0</v>
      </c>
      <c r="AH19" s="32">
        <f t="shared" si="6"/>
        <v>32</v>
      </c>
      <c r="AI19" s="71">
        <v>0</v>
      </c>
      <c r="AJ19" s="33">
        <f t="shared" si="7"/>
        <v>0</v>
      </c>
      <c r="AK19" s="69">
        <f t="shared" si="8"/>
        <v>83968</v>
      </c>
      <c r="AL19" s="69">
        <f t="shared" si="9"/>
        <v>0</v>
      </c>
      <c r="AM19" s="70" t="s">
        <v>39</v>
      </c>
      <c r="AN19" s="70" t="s">
        <v>59</v>
      </c>
      <c r="AO19" s="70" t="s">
        <v>84</v>
      </c>
    </row>
    <row r="20" spans="1:41" x14ac:dyDescent="0.25">
      <c r="A20" s="70" t="s">
        <v>94</v>
      </c>
      <c r="B20" s="70">
        <v>2017</v>
      </c>
      <c r="C20" s="70" t="s">
        <v>34</v>
      </c>
      <c r="D20" s="70" t="s">
        <v>34</v>
      </c>
      <c r="E20" s="70" t="s">
        <v>108</v>
      </c>
      <c r="F20" s="70">
        <v>5627</v>
      </c>
      <c r="G20" s="70" t="s">
        <v>187</v>
      </c>
      <c r="H20" s="71">
        <v>0</v>
      </c>
      <c r="I20" s="71">
        <v>0</v>
      </c>
      <c r="J20" s="71">
        <v>0</v>
      </c>
      <c r="K20" s="71">
        <v>0</v>
      </c>
      <c r="L20" s="71">
        <v>0</v>
      </c>
      <c r="M20" s="71">
        <v>0</v>
      </c>
      <c r="N20" s="71">
        <v>0</v>
      </c>
      <c r="O20" s="71">
        <v>0</v>
      </c>
      <c r="P20" s="71">
        <v>0</v>
      </c>
      <c r="Q20" s="71">
        <v>0</v>
      </c>
      <c r="R20" s="71">
        <v>0</v>
      </c>
      <c r="S20" s="71">
        <v>1</v>
      </c>
      <c r="T20" s="68">
        <f t="shared" si="1"/>
        <v>1</v>
      </c>
      <c r="U20" s="71">
        <v>0</v>
      </c>
      <c r="V20" s="33">
        <f t="shared" si="2"/>
        <v>0</v>
      </c>
      <c r="W20" s="69">
        <f t="shared" si="3"/>
        <v>2624</v>
      </c>
      <c r="X20" s="69">
        <f t="shared" si="4"/>
        <v>0</v>
      </c>
      <c r="Y20" s="70" t="s">
        <v>188</v>
      </c>
      <c r="Z20" s="72">
        <v>2624</v>
      </c>
      <c r="AA20" s="70" t="s">
        <v>95</v>
      </c>
      <c r="AB20" s="68">
        <f t="shared" si="5"/>
        <v>-1</v>
      </c>
      <c r="AC20" s="73">
        <v>43012</v>
      </c>
      <c r="AD20" s="73">
        <v>43100</v>
      </c>
      <c r="AE20" s="70" t="s">
        <v>57</v>
      </c>
      <c r="AF20" s="71">
        <v>0</v>
      </c>
      <c r="AG20" s="71">
        <v>0</v>
      </c>
      <c r="AH20" s="32">
        <f t="shared" si="6"/>
        <v>1</v>
      </c>
      <c r="AI20" s="71">
        <v>0</v>
      </c>
      <c r="AJ20" s="33">
        <f t="shared" si="7"/>
        <v>0</v>
      </c>
      <c r="AK20" s="69">
        <f t="shared" si="8"/>
        <v>2624</v>
      </c>
      <c r="AL20" s="69">
        <f t="shared" si="9"/>
        <v>0</v>
      </c>
      <c r="AM20" s="70" t="s">
        <v>39</v>
      </c>
      <c r="AN20" s="70" t="s">
        <v>59</v>
      </c>
      <c r="AO20" s="70" t="s">
        <v>84</v>
      </c>
    </row>
    <row r="21" spans="1:41" x14ac:dyDescent="0.25">
      <c r="A21" s="70" t="s">
        <v>62</v>
      </c>
      <c r="B21" s="70">
        <v>2017</v>
      </c>
      <c r="C21" s="70" t="s">
        <v>34</v>
      </c>
      <c r="D21" s="70" t="s">
        <v>34</v>
      </c>
      <c r="E21" s="70" t="s">
        <v>108</v>
      </c>
      <c r="F21" s="70">
        <v>5627</v>
      </c>
      <c r="G21" s="70" t="s">
        <v>187</v>
      </c>
      <c r="H21" s="71">
        <v>0</v>
      </c>
      <c r="I21" s="71">
        <v>0</v>
      </c>
      <c r="J21" s="71">
        <v>0</v>
      </c>
      <c r="K21" s="71">
        <v>0</v>
      </c>
      <c r="L21" s="71">
        <v>0</v>
      </c>
      <c r="M21" s="71">
        <v>0</v>
      </c>
      <c r="N21" s="71">
        <v>0</v>
      </c>
      <c r="O21" s="71">
        <v>0</v>
      </c>
      <c r="P21" s="71">
        <v>0</v>
      </c>
      <c r="Q21" s="71">
        <v>1</v>
      </c>
      <c r="R21" s="71">
        <v>0</v>
      </c>
      <c r="S21" s="71">
        <v>0</v>
      </c>
      <c r="T21" s="68">
        <f t="shared" si="1"/>
        <v>1</v>
      </c>
      <c r="U21" s="71">
        <v>0</v>
      </c>
      <c r="V21" s="33">
        <f t="shared" si="2"/>
        <v>0</v>
      </c>
      <c r="W21" s="69">
        <f t="shared" si="3"/>
        <v>2624</v>
      </c>
      <c r="X21" s="69">
        <f t="shared" si="4"/>
        <v>0</v>
      </c>
      <c r="Y21" s="70" t="s">
        <v>188</v>
      </c>
      <c r="Z21" s="72">
        <v>2624</v>
      </c>
      <c r="AA21" s="70" t="s">
        <v>63</v>
      </c>
      <c r="AB21" s="68">
        <f t="shared" si="5"/>
        <v>-1</v>
      </c>
      <c r="AC21" s="73">
        <v>42730</v>
      </c>
      <c r="AD21" s="73">
        <v>43100</v>
      </c>
      <c r="AE21" s="70" t="s">
        <v>57</v>
      </c>
      <c r="AF21" s="71">
        <v>0</v>
      </c>
      <c r="AG21" s="71">
        <v>0</v>
      </c>
      <c r="AH21" s="32">
        <f t="shared" si="6"/>
        <v>1</v>
      </c>
      <c r="AI21" s="71">
        <v>0</v>
      </c>
      <c r="AJ21" s="33">
        <f t="shared" si="7"/>
        <v>0</v>
      </c>
      <c r="AK21" s="69">
        <f t="shared" si="8"/>
        <v>2624</v>
      </c>
      <c r="AL21" s="69">
        <f t="shared" si="9"/>
        <v>0</v>
      </c>
      <c r="AM21" s="70" t="s">
        <v>39</v>
      </c>
      <c r="AN21" s="70" t="s">
        <v>59</v>
      </c>
      <c r="AO21" s="70" t="s">
        <v>84</v>
      </c>
    </row>
    <row r="22" spans="1:41" x14ac:dyDescent="0.25">
      <c r="A22" s="70" t="s">
        <v>94</v>
      </c>
      <c r="B22" s="70">
        <v>2017</v>
      </c>
      <c r="C22" s="70" t="s">
        <v>34</v>
      </c>
      <c r="D22" s="70" t="s">
        <v>34</v>
      </c>
      <c r="E22" s="70" t="s">
        <v>109</v>
      </c>
      <c r="F22" s="70">
        <v>5627</v>
      </c>
      <c r="G22" s="70" t="s">
        <v>187</v>
      </c>
      <c r="H22" s="71">
        <v>0</v>
      </c>
      <c r="I22" s="71">
        <v>0</v>
      </c>
      <c r="J22" s="71">
        <v>0</v>
      </c>
      <c r="K22" s="71">
        <v>0</v>
      </c>
      <c r="L22" s="71">
        <v>0</v>
      </c>
      <c r="M22" s="71">
        <v>0</v>
      </c>
      <c r="N22" s="71">
        <v>0</v>
      </c>
      <c r="O22" s="71">
        <v>0</v>
      </c>
      <c r="P22" s="71">
        <v>0</v>
      </c>
      <c r="Q22" s="71">
        <v>4</v>
      </c>
      <c r="R22" s="71">
        <v>3</v>
      </c>
      <c r="S22" s="71">
        <v>5</v>
      </c>
      <c r="T22" s="68">
        <f t="shared" si="1"/>
        <v>12</v>
      </c>
      <c r="U22" s="71">
        <v>0</v>
      </c>
      <c r="V22" s="33">
        <f t="shared" si="2"/>
        <v>0</v>
      </c>
      <c r="W22" s="69">
        <f t="shared" si="3"/>
        <v>31488</v>
      </c>
      <c r="X22" s="69">
        <f t="shared" si="4"/>
        <v>0</v>
      </c>
      <c r="Y22" s="70" t="s">
        <v>188</v>
      </c>
      <c r="Z22" s="72">
        <v>2624</v>
      </c>
      <c r="AA22" s="70" t="s">
        <v>95</v>
      </c>
      <c r="AB22" s="68">
        <f t="shared" si="5"/>
        <v>-12</v>
      </c>
      <c r="AC22" s="73">
        <v>43012</v>
      </c>
      <c r="AD22" s="73">
        <v>43100</v>
      </c>
      <c r="AE22" s="70" t="s">
        <v>57</v>
      </c>
      <c r="AF22" s="71">
        <v>0</v>
      </c>
      <c r="AG22" s="71">
        <v>0</v>
      </c>
      <c r="AH22" s="32">
        <f t="shared" si="6"/>
        <v>12</v>
      </c>
      <c r="AI22" s="71">
        <v>0</v>
      </c>
      <c r="AJ22" s="33">
        <f t="shared" si="7"/>
        <v>0</v>
      </c>
      <c r="AK22" s="69">
        <f t="shared" si="8"/>
        <v>31488</v>
      </c>
      <c r="AL22" s="69">
        <f t="shared" si="9"/>
        <v>0</v>
      </c>
      <c r="AM22" s="70" t="s">
        <v>39</v>
      </c>
      <c r="AN22" s="70" t="s">
        <v>59</v>
      </c>
      <c r="AO22" s="70" t="s">
        <v>84</v>
      </c>
    </row>
    <row r="23" spans="1:41" x14ac:dyDescent="0.25">
      <c r="A23" s="70" t="s">
        <v>62</v>
      </c>
      <c r="B23" s="70">
        <v>2017</v>
      </c>
      <c r="C23" s="70" t="s">
        <v>34</v>
      </c>
      <c r="D23" s="70" t="s">
        <v>34</v>
      </c>
      <c r="E23" s="70" t="s">
        <v>109</v>
      </c>
      <c r="F23" s="70">
        <v>5627</v>
      </c>
      <c r="G23" s="70" t="s">
        <v>187</v>
      </c>
      <c r="H23" s="71">
        <v>3</v>
      </c>
      <c r="I23" s="71">
        <v>3</v>
      </c>
      <c r="J23" s="71">
        <v>2</v>
      </c>
      <c r="K23" s="71">
        <v>5</v>
      </c>
      <c r="L23" s="71">
        <v>3</v>
      </c>
      <c r="M23" s="71">
        <v>11</v>
      </c>
      <c r="N23" s="71">
        <v>4</v>
      </c>
      <c r="O23" s="71">
        <v>10</v>
      </c>
      <c r="P23" s="71">
        <v>0</v>
      </c>
      <c r="Q23" s="71">
        <v>1</v>
      </c>
      <c r="R23" s="71">
        <v>0</v>
      </c>
      <c r="S23" s="71">
        <v>0</v>
      </c>
      <c r="T23" s="68">
        <f t="shared" si="1"/>
        <v>42</v>
      </c>
      <c r="U23" s="71">
        <v>0</v>
      </c>
      <c r="V23" s="33">
        <f t="shared" si="2"/>
        <v>0</v>
      </c>
      <c r="W23" s="69">
        <f t="shared" si="3"/>
        <v>110208</v>
      </c>
      <c r="X23" s="69">
        <f t="shared" si="4"/>
        <v>0</v>
      </c>
      <c r="Y23" s="70" t="s">
        <v>188</v>
      </c>
      <c r="Z23" s="72">
        <v>2624</v>
      </c>
      <c r="AA23" s="70" t="s">
        <v>63</v>
      </c>
      <c r="AB23" s="68">
        <f t="shared" si="5"/>
        <v>-42</v>
      </c>
      <c r="AC23" s="73">
        <v>42730</v>
      </c>
      <c r="AD23" s="73">
        <v>43100</v>
      </c>
      <c r="AE23" s="70" t="s">
        <v>57</v>
      </c>
      <c r="AF23" s="71">
        <v>0</v>
      </c>
      <c r="AG23" s="71">
        <v>0</v>
      </c>
      <c r="AH23" s="32">
        <f t="shared" si="6"/>
        <v>42</v>
      </c>
      <c r="AI23" s="71">
        <v>0</v>
      </c>
      <c r="AJ23" s="33">
        <f t="shared" si="7"/>
        <v>0</v>
      </c>
      <c r="AK23" s="69">
        <f t="shared" si="8"/>
        <v>110208</v>
      </c>
      <c r="AL23" s="69">
        <f t="shared" si="9"/>
        <v>0</v>
      </c>
      <c r="AM23" s="70" t="s">
        <v>39</v>
      </c>
      <c r="AN23" s="70" t="s">
        <v>59</v>
      </c>
      <c r="AO23" s="70" t="s">
        <v>84</v>
      </c>
    </row>
    <row r="24" spans="1:41" x14ac:dyDescent="0.25">
      <c r="A24" s="70" t="s">
        <v>94</v>
      </c>
      <c r="B24" s="70">
        <v>2017</v>
      </c>
      <c r="C24" s="70" t="s">
        <v>34</v>
      </c>
      <c r="D24" s="70" t="s">
        <v>34</v>
      </c>
      <c r="E24" s="70" t="s">
        <v>110</v>
      </c>
      <c r="F24" s="70">
        <v>5627</v>
      </c>
      <c r="G24" s="70" t="s">
        <v>187</v>
      </c>
      <c r="H24" s="71">
        <v>0</v>
      </c>
      <c r="I24" s="71">
        <v>0</v>
      </c>
      <c r="J24" s="71">
        <v>0</v>
      </c>
      <c r="K24" s="71">
        <v>0</v>
      </c>
      <c r="L24" s="71">
        <v>0</v>
      </c>
      <c r="M24" s="71">
        <v>0</v>
      </c>
      <c r="N24" s="71">
        <v>0</v>
      </c>
      <c r="O24" s="71">
        <v>0</v>
      </c>
      <c r="P24" s="71">
        <v>0</v>
      </c>
      <c r="Q24" s="71">
        <v>2</v>
      </c>
      <c r="R24" s="71">
        <v>1</v>
      </c>
      <c r="S24" s="71">
        <v>5</v>
      </c>
      <c r="T24" s="68">
        <f t="shared" si="1"/>
        <v>8</v>
      </c>
      <c r="U24" s="71">
        <v>0</v>
      </c>
      <c r="V24" s="33">
        <f t="shared" si="2"/>
        <v>0</v>
      </c>
      <c r="W24" s="69">
        <f t="shared" si="3"/>
        <v>20992</v>
      </c>
      <c r="X24" s="69">
        <f t="shared" si="4"/>
        <v>0</v>
      </c>
      <c r="Y24" s="70" t="s">
        <v>188</v>
      </c>
      <c r="Z24" s="72">
        <v>2624</v>
      </c>
      <c r="AA24" s="70" t="s">
        <v>95</v>
      </c>
      <c r="AB24" s="68">
        <f t="shared" si="5"/>
        <v>-8</v>
      </c>
      <c r="AC24" s="73">
        <v>43012</v>
      </c>
      <c r="AD24" s="73">
        <v>43100</v>
      </c>
      <c r="AE24" s="70" t="s">
        <v>57</v>
      </c>
      <c r="AF24" s="71">
        <v>0</v>
      </c>
      <c r="AG24" s="71">
        <v>0</v>
      </c>
      <c r="AH24" s="32">
        <f t="shared" si="6"/>
        <v>8</v>
      </c>
      <c r="AI24" s="71">
        <v>0</v>
      </c>
      <c r="AJ24" s="33">
        <f t="shared" si="7"/>
        <v>0</v>
      </c>
      <c r="AK24" s="69">
        <f t="shared" si="8"/>
        <v>20992</v>
      </c>
      <c r="AL24" s="69">
        <f t="shared" si="9"/>
        <v>0</v>
      </c>
      <c r="AM24" s="70" t="s">
        <v>39</v>
      </c>
      <c r="AN24" s="70" t="s">
        <v>59</v>
      </c>
      <c r="AO24" s="70" t="s">
        <v>84</v>
      </c>
    </row>
    <row r="25" spans="1:41" x14ac:dyDescent="0.25">
      <c r="A25" s="70" t="s">
        <v>62</v>
      </c>
      <c r="B25" s="70">
        <v>2017</v>
      </c>
      <c r="C25" s="70" t="s">
        <v>34</v>
      </c>
      <c r="D25" s="70" t="s">
        <v>34</v>
      </c>
      <c r="E25" s="70" t="s">
        <v>110</v>
      </c>
      <c r="F25" s="70">
        <v>5627</v>
      </c>
      <c r="G25" s="70" t="s">
        <v>187</v>
      </c>
      <c r="H25" s="71">
        <v>0</v>
      </c>
      <c r="I25" s="71">
        <v>0</v>
      </c>
      <c r="J25" s="71">
        <v>0</v>
      </c>
      <c r="K25" s="71">
        <v>1</v>
      </c>
      <c r="L25" s="71">
        <v>1</v>
      </c>
      <c r="M25" s="71">
        <v>0</v>
      </c>
      <c r="N25" s="71">
        <v>1</v>
      </c>
      <c r="O25" s="71">
        <v>2</v>
      </c>
      <c r="P25" s="71">
        <v>5</v>
      </c>
      <c r="Q25" s="71">
        <v>1</v>
      </c>
      <c r="R25" s="71">
        <v>0</v>
      </c>
      <c r="S25" s="71">
        <v>0</v>
      </c>
      <c r="T25" s="68">
        <f t="shared" si="1"/>
        <v>11</v>
      </c>
      <c r="U25" s="71">
        <v>0</v>
      </c>
      <c r="V25" s="33">
        <f t="shared" si="2"/>
        <v>0</v>
      </c>
      <c r="W25" s="69">
        <f t="shared" si="3"/>
        <v>28864</v>
      </c>
      <c r="X25" s="69">
        <f t="shared" si="4"/>
        <v>0</v>
      </c>
      <c r="Y25" s="70" t="s">
        <v>188</v>
      </c>
      <c r="Z25" s="72">
        <v>2624</v>
      </c>
      <c r="AA25" s="70" t="s">
        <v>63</v>
      </c>
      <c r="AB25" s="68">
        <f t="shared" si="5"/>
        <v>-11</v>
      </c>
      <c r="AC25" s="73">
        <v>42730</v>
      </c>
      <c r="AD25" s="73">
        <v>43100</v>
      </c>
      <c r="AE25" s="70" t="s">
        <v>57</v>
      </c>
      <c r="AF25" s="71">
        <v>0</v>
      </c>
      <c r="AG25" s="71">
        <v>0</v>
      </c>
      <c r="AH25" s="32">
        <f t="shared" si="6"/>
        <v>11</v>
      </c>
      <c r="AI25" s="71">
        <v>0</v>
      </c>
      <c r="AJ25" s="33">
        <f t="shared" si="7"/>
        <v>0</v>
      </c>
      <c r="AK25" s="69">
        <f t="shared" si="8"/>
        <v>28864</v>
      </c>
      <c r="AL25" s="69">
        <f t="shared" si="9"/>
        <v>0</v>
      </c>
      <c r="AM25" s="70" t="s">
        <v>39</v>
      </c>
      <c r="AN25" s="70" t="s">
        <v>59</v>
      </c>
      <c r="AO25" s="70" t="s">
        <v>84</v>
      </c>
    </row>
    <row r="26" spans="1:41" x14ac:dyDescent="0.25">
      <c r="A26" s="70" t="s">
        <v>94</v>
      </c>
      <c r="B26" s="70">
        <v>2017</v>
      </c>
      <c r="C26" s="70" t="s">
        <v>34</v>
      </c>
      <c r="D26" s="70" t="s">
        <v>34</v>
      </c>
      <c r="E26" s="70" t="s">
        <v>111</v>
      </c>
      <c r="F26" s="70">
        <v>5627</v>
      </c>
      <c r="G26" s="70" t="s">
        <v>187</v>
      </c>
      <c r="H26" s="71">
        <v>0</v>
      </c>
      <c r="I26" s="71">
        <v>0</v>
      </c>
      <c r="J26" s="71">
        <v>0</v>
      </c>
      <c r="K26" s="71">
        <v>0</v>
      </c>
      <c r="L26" s="71">
        <v>0</v>
      </c>
      <c r="M26" s="71">
        <v>0</v>
      </c>
      <c r="N26" s="71">
        <v>0</v>
      </c>
      <c r="O26" s="71">
        <v>0</v>
      </c>
      <c r="P26" s="71">
        <v>0</v>
      </c>
      <c r="Q26" s="71">
        <v>6</v>
      </c>
      <c r="R26" s="71">
        <v>8</v>
      </c>
      <c r="S26" s="71">
        <v>17</v>
      </c>
      <c r="T26" s="68">
        <f t="shared" si="1"/>
        <v>31</v>
      </c>
      <c r="U26" s="71">
        <v>0</v>
      </c>
      <c r="V26" s="33">
        <f t="shared" si="2"/>
        <v>0</v>
      </c>
      <c r="W26" s="69">
        <f t="shared" si="3"/>
        <v>81344</v>
      </c>
      <c r="X26" s="69">
        <f t="shared" si="4"/>
        <v>0</v>
      </c>
      <c r="Y26" s="70" t="s">
        <v>188</v>
      </c>
      <c r="Z26" s="72">
        <v>2624</v>
      </c>
      <c r="AA26" s="70" t="s">
        <v>95</v>
      </c>
      <c r="AB26" s="68">
        <f t="shared" si="5"/>
        <v>-31</v>
      </c>
      <c r="AC26" s="73">
        <v>43012</v>
      </c>
      <c r="AD26" s="73">
        <v>43100</v>
      </c>
      <c r="AE26" s="70" t="s">
        <v>57</v>
      </c>
      <c r="AF26" s="71">
        <v>0</v>
      </c>
      <c r="AG26" s="71">
        <v>0</v>
      </c>
      <c r="AH26" s="32">
        <f t="shared" si="6"/>
        <v>31</v>
      </c>
      <c r="AI26" s="71">
        <v>0</v>
      </c>
      <c r="AJ26" s="33">
        <f t="shared" si="7"/>
        <v>0</v>
      </c>
      <c r="AK26" s="69">
        <f t="shared" si="8"/>
        <v>81344</v>
      </c>
      <c r="AL26" s="69">
        <f t="shared" si="9"/>
        <v>0</v>
      </c>
      <c r="AM26" s="70" t="s">
        <v>39</v>
      </c>
      <c r="AN26" s="70" t="s">
        <v>59</v>
      </c>
      <c r="AO26" s="70" t="s">
        <v>84</v>
      </c>
    </row>
    <row r="27" spans="1:41" x14ac:dyDescent="0.25">
      <c r="A27" s="70" t="s">
        <v>62</v>
      </c>
      <c r="B27" s="70">
        <v>2017</v>
      </c>
      <c r="C27" s="70" t="s">
        <v>34</v>
      </c>
      <c r="D27" s="70" t="s">
        <v>34</v>
      </c>
      <c r="E27" s="70" t="s">
        <v>111</v>
      </c>
      <c r="F27" s="70">
        <v>5627</v>
      </c>
      <c r="G27" s="70" t="s">
        <v>187</v>
      </c>
      <c r="H27" s="71">
        <v>0</v>
      </c>
      <c r="I27" s="71">
        <v>7</v>
      </c>
      <c r="J27" s="71">
        <v>8</v>
      </c>
      <c r="K27" s="71">
        <v>10</v>
      </c>
      <c r="L27" s="71">
        <v>11</v>
      </c>
      <c r="M27" s="71">
        <v>7</v>
      </c>
      <c r="N27" s="71">
        <v>7</v>
      </c>
      <c r="O27" s="71">
        <v>5</v>
      </c>
      <c r="P27" s="71">
        <v>9</v>
      </c>
      <c r="Q27" s="71">
        <v>4</v>
      </c>
      <c r="R27" s="71">
        <v>0</v>
      </c>
      <c r="S27" s="71">
        <v>0</v>
      </c>
      <c r="T27" s="68">
        <f t="shared" si="1"/>
        <v>68</v>
      </c>
      <c r="U27" s="71">
        <v>0</v>
      </c>
      <c r="V27" s="33">
        <f t="shared" si="2"/>
        <v>0</v>
      </c>
      <c r="W27" s="69">
        <f t="shared" si="3"/>
        <v>178432</v>
      </c>
      <c r="X27" s="69">
        <f t="shared" si="4"/>
        <v>0</v>
      </c>
      <c r="Y27" s="70" t="s">
        <v>188</v>
      </c>
      <c r="Z27" s="72">
        <v>2624</v>
      </c>
      <c r="AA27" s="70" t="s">
        <v>63</v>
      </c>
      <c r="AB27" s="68">
        <f t="shared" si="5"/>
        <v>-68</v>
      </c>
      <c r="AC27" s="73">
        <v>42730</v>
      </c>
      <c r="AD27" s="73">
        <v>43100</v>
      </c>
      <c r="AE27" s="70" t="s">
        <v>57</v>
      </c>
      <c r="AF27" s="71">
        <v>0</v>
      </c>
      <c r="AG27" s="71">
        <v>0</v>
      </c>
      <c r="AH27" s="32">
        <f t="shared" si="6"/>
        <v>68</v>
      </c>
      <c r="AI27" s="71">
        <v>0</v>
      </c>
      <c r="AJ27" s="33">
        <f t="shared" si="7"/>
        <v>0</v>
      </c>
      <c r="AK27" s="69">
        <f t="shared" si="8"/>
        <v>178432</v>
      </c>
      <c r="AL27" s="69">
        <f t="shared" si="9"/>
        <v>0</v>
      </c>
      <c r="AM27" s="70" t="s">
        <v>39</v>
      </c>
      <c r="AN27" s="70" t="s">
        <v>59</v>
      </c>
      <c r="AO27" s="70" t="s">
        <v>84</v>
      </c>
    </row>
    <row r="28" spans="1:41" x14ac:dyDescent="0.25">
      <c r="A28" s="70" t="s">
        <v>94</v>
      </c>
      <c r="B28" s="70">
        <v>2017</v>
      </c>
      <c r="C28" s="70" t="s">
        <v>34</v>
      </c>
      <c r="D28" s="70" t="s">
        <v>34</v>
      </c>
      <c r="E28" s="70" t="s">
        <v>112</v>
      </c>
      <c r="F28" s="70">
        <v>5627</v>
      </c>
      <c r="G28" s="70" t="s">
        <v>187</v>
      </c>
      <c r="H28" s="71">
        <v>0</v>
      </c>
      <c r="I28" s="71">
        <v>0</v>
      </c>
      <c r="J28" s="71">
        <v>0</v>
      </c>
      <c r="K28" s="71">
        <v>0</v>
      </c>
      <c r="L28" s="71">
        <v>0</v>
      </c>
      <c r="M28" s="71">
        <v>0</v>
      </c>
      <c r="N28" s="71">
        <v>0</v>
      </c>
      <c r="O28" s="71">
        <v>0</v>
      </c>
      <c r="P28" s="71">
        <v>0</v>
      </c>
      <c r="Q28" s="71">
        <v>126</v>
      </c>
      <c r="R28" s="71">
        <v>283</v>
      </c>
      <c r="S28" s="71">
        <v>403</v>
      </c>
      <c r="T28" s="68">
        <f t="shared" si="1"/>
        <v>812</v>
      </c>
      <c r="U28" s="71">
        <v>0</v>
      </c>
      <c r="V28" s="33">
        <f t="shared" si="2"/>
        <v>0</v>
      </c>
      <c r="W28" s="69">
        <f t="shared" si="3"/>
        <v>2130688</v>
      </c>
      <c r="X28" s="69">
        <f t="shared" si="4"/>
        <v>0</v>
      </c>
      <c r="Y28" s="70" t="s">
        <v>188</v>
      </c>
      <c r="Z28" s="72">
        <v>2624</v>
      </c>
      <c r="AA28" s="70" t="s">
        <v>95</v>
      </c>
      <c r="AB28" s="68">
        <f t="shared" si="5"/>
        <v>-812</v>
      </c>
      <c r="AC28" s="73">
        <v>43012</v>
      </c>
      <c r="AD28" s="73">
        <v>43100</v>
      </c>
      <c r="AE28" s="70" t="s">
        <v>57</v>
      </c>
      <c r="AF28" s="71">
        <v>0</v>
      </c>
      <c r="AG28" s="71">
        <v>0</v>
      </c>
      <c r="AH28" s="32">
        <f t="shared" si="6"/>
        <v>812</v>
      </c>
      <c r="AI28" s="71">
        <v>0</v>
      </c>
      <c r="AJ28" s="33">
        <f t="shared" si="7"/>
        <v>0</v>
      </c>
      <c r="AK28" s="69">
        <f t="shared" si="8"/>
        <v>2130688</v>
      </c>
      <c r="AL28" s="69">
        <f t="shared" si="9"/>
        <v>0</v>
      </c>
      <c r="AM28" s="70" t="s">
        <v>39</v>
      </c>
      <c r="AN28" s="70" t="s">
        <v>59</v>
      </c>
      <c r="AO28" s="70" t="s">
        <v>84</v>
      </c>
    </row>
    <row r="29" spans="1:41" x14ac:dyDescent="0.25">
      <c r="A29" s="70" t="s">
        <v>62</v>
      </c>
      <c r="B29" s="70">
        <v>2017</v>
      </c>
      <c r="C29" s="70" t="s">
        <v>34</v>
      </c>
      <c r="D29" s="70" t="s">
        <v>34</v>
      </c>
      <c r="E29" s="70" t="s">
        <v>112</v>
      </c>
      <c r="F29" s="70">
        <v>5627</v>
      </c>
      <c r="G29" s="70" t="s">
        <v>187</v>
      </c>
      <c r="H29" s="71">
        <v>137</v>
      </c>
      <c r="I29" s="71">
        <v>147</v>
      </c>
      <c r="J29" s="71">
        <v>220</v>
      </c>
      <c r="K29" s="71">
        <v>133</v>
      </c>
      <c r="L29" s="71">
        <v>304</v>
      </c>
      <c r="M29" s="71">
        <v>166</v>
      </c>
      <c r="N29" s="71">
        <v>171</v>
      </c>
      <c r="O29" s="71">
        <v>164</v>
      </c>
      <c r="P29" s="71">
        <v>137</v>
      </c>
      <c r="Q29" s="71">
        <v>45</v>
      </c>
      <c r="R29" s="71">
        <v>0</v>
      </c>
      <c r="S29" s="71">
        <v>0</v>
      </c>
      <c r="T29" s="68">
        <f t="shared" si="1"/>
        <v>1624</v>
      </c>
      <c r="U29" s="71">
        <v>0</v>
      </c>
      <c r="V29" s="33">
        <f t="shared" si="2"/>
        <v>0</v>
      </c>
      <c r="W29" s="69">
        <f t="shared" si="3"/>
        <v>4261376</v>
      </c>
      <c r="X29" s="69">
        <f t="shared" si="4"/>
        <v>0</v>
      </c>
      <c r="Y29" s="70" t="s">
        <v>188</v>
      </c>
      <c r="Z29" s="72">
        <v>2624</v>
      </c>
      <c r="AA29" s="70" t="s">
        <v>63</v>
      </c>
      <c r="AB29" s="68">
        <f t="shared" si="5"/>
        <v>-1624</v>
      </c>
      <c r="AC29" s="73">
        <v>42730</v>
      </c>
      <c r="AD29" s="73">
        <v>43100</v>
      </c>
      <c r="AE29" s="70" t="s">
        <v>57</v>
      </c>
      <c r="AF29" s="71">
        <v>0</v>
      </c>
      <c r="AG29" s="71">
        <v>0</v>
      </c>
      <c r="AH29" s="32">
        <f t="shared" si="6"/>
        <v>1624</v>
      </c>
      <c r="AI29" s="71">
        <v>0</v>
      </c>
      <c r="AJ29" s="33">
        <f t="shared" si="7"/>
        <v>0</v>
      </c>
      <c r="AK29" s="69">
        <f t="shared" si="8"/>
        <v>4261376</v>
      </c>
      <c r="AL29" s="69">
        <f t="shared" si="9"/>
        <v>0</v>
      </c>
      <c r="AM29" s="70" t="s">
        <v>39</v>
      </c>
      <c r="AN29" s="70" t="s">
        <v>59</v>
      </c>
      <c r="AO29" s="70" t="s">
        <v>84</v>
      </c>
    </row>
    <row r="30" spans="1:41" x14ac:dyDescent="0.25">
      <c r="A30" s="70" t="s">
        <v>94</v>
      </c>
      <c r="B30" s="70">
        <v>2017</v>
      </c>
      <c r="C30" s="70" t="s">
        <v>34</v>
      </c>
      <c r="D30" s="70" t="s">
        <v>34</v>
      </c>
      <c r="E30" s="70" t="s">
        <v>112</v>
      </c>
      <c r="F30" s="70">
        <v>5835</v>
      </c>
      <c r="G30" s="70" t="s">
        <v>189</v>
      </c>
      <c r="H30" s="71">
        <v>0</v>
      </c>
      <c r="I30" s="71">
        <v>0</v>
      </c>
      <c r="J30" s="71">
        <v>0</v>
      </c>
      <c r="K30" s="71">
        <v>0</v>
      </c>
      <c r="L30" s="71">
        <v>0</v>
      </c>
      <c r="M30" s="71">
        <v>0</v>
      </c>
      <c r="N30" s="71">
        <v>0</v>
      </c>
      <c r="O30" s="71">
        <v>0</v>
      </c>
      <c r="P30" s="71">
        <v>0</v>
      </c>
      <c r="Q30" s="71">
        <v>27</v>
      </c>
      <c r="R30" s="71">
        <v>30</v>
      </c>
      <c r="S30" s="71">
        <v>55</v>
      </c>
      <c r="T30" s="68">
        <f t="shared" si="1"/>
        <v>112</v>
      </c>
      <c r="U30" s="71">
        <v>0</v>
      </c>
      <c r="V30" s="33">
        <f t="shared" si="2"/>
        <v>0</v>
      </c>
      <c r="W30" s="69">
        <f t="shared" si="3"/>
        <v>261128</v>
      </c>
      <c r="X30" s="69">
        <f t="shared" si="4"/>
        <v>0</v>
      </c>
      <c r="Y30" s="70" t="s">
        <v>188</v>
      </c>
      <c r="Z30" s="72">
        <v>2331.5</v>
      </c>
      <c r="AA30" s="70" t="s">
        <v>95</v>
      </c>
      <c r="AB30" s="68">
        <f t="shared" si="5"/>
        <v>-112</v>
      </c>
      <c r="AC30" s="73">
        <v>43012</v>
      </c>
      <c r="AD30" s="73">
        <v>43100</v>
      </c>
      <c r="AE30" s="70" t="s">
        <v>57</v>
      </c>
      <c r="AF30" s="71">
        <v>0</v>
      </c>
      <c r="AG30" s="71">
        <v>0</v>
      </c>
      <c r="AH30" s="32">
        <f t="shared" si="6"/>
        <v>112</v>
      </c>
      <c r="AI30" s="71">
        <v>0</v>
      </c>
      <c r="AJ30" s="33">
        <f t="shared" si="7"/>
        <v>0</v>
      </c>
      <c r="AK30" s="69">
        <f t="shared" si="8"/>
        <v>261128</v>
      </c>
      <c r="AL30" s="69">
        <f t="shared" si="9"/>
        <v>0</v>
      </c>
      <c r="AM30" s="70" t="s">
        <v>39</v>
      </c>
      <c r="AN30" s="70" t="s">
        <v>59</v>
      </c>
      <c r="AO30" s="70" t="s">
        <v>84</v>
      </c>
    </row>
    <row r="31" spans="1:41" x14ac:dyDescent="0.25">
      <c r="A31" s="70" t="s">
        <v>62</v>
      </c>
      <c r="B31" s="70">
        <v>2017</v>
      </c>
      <c r="C31" s="70" t="s">
        <v>34</v>
      </c>
      <c r="D31" s="70" t="s">
        <v>34</v>
      </c>
      <c r="E31" s="70" t="s">
        <v>112</v>
      </c>
      <c r="F31" s="70">
        <v>5835</v>
      </c>
      <c r="G31" s="70" t="s">
        <v>189</v>
      </c>
      <c r="H31" s="71">
        <v>11</v>
      </c>
      <c r="I31" s="71">
        <v>17</v>
      </c>
      <c r="J31" s="71">
        <v>20</v>
      </c>
      <c r="K31" s="71">
        <v>19</v>
      </c>
      <c r="L31" s="71">
        <v>29</v>
      </c>
      <c r="M31" s="71">
        <v>11</v>
      </c>
      <c r="N31" s="71">
        <v>18</v>
      </c>
      <c r="O31" s="71">
        <v>33</v>
      </c>
      <c r="P31" s="71">
        <v>24</v>
      </c>
      <c r="Q31" s="71">
        <v>8</v>
      </c>
      <c r="R31" s="71">
        <v>0</v>
      </c>
      <c r="S31" s="71">
        <v>0</v>
      </c>
      <c r="T31" s="68">
        <f t="shared" si="1"/>
        <v>190</v>
      </c>
      <c r="U31" s="71">
        <v>0</v>
      </c>
      <c r="V31" s="33">
        <f t="shared" si="2"/>
        <v>0</v>
      </c>
      <c r="W31" s="69">
        <f t="shared" si="3"/>
        <v>442985</v>
      </c>
      <c r="X31" s="69">
        <f t="shared" si="4"/>
        <v>0</v>
      </c>
      <c r="Y31" s="70" t="s">
        <v>188</v>
      </c>
      <c r="Z31" s="72">
        <v>2331.5</v>
      </c>
      <c r="AA31" s="70" t="s">
        <v>63</v>
      </c>
      <c r="AB31" s="68">
        <f t="shared" si="5"/>
        <v>-190</v>
      </c>
      <c r="AC31" s="73">
        <v>42730</v>
      </c>
      <c r="AD31" s="73">
        <v>43100</v>
      </c>
      <c r="AE31" s="70" t="s">
        <v>57</v>
      </c>
      <c r="AF31" s="71">
        <v>0</v>
      </c>
      <c r="AG31" s="71">
        <v>0</v>
      </c>
      <c r="AH31" s="32">
        <f t="shared" si="6"/>
        <v>190</v>
      </c>
      <c r="AI31" s="71">
        <v>0</v>
      </c>
      <c r="AJ31" s="33">
        <f t="shared" si="7"/>
        <v>0</v>
      </c>
      <c r="AK31" s="69">
        <f t="shared" si="8"/>
        <v>442985</v>
      </c>
      <c r="AL31" s="69">
        <f t="shared" si="9"/>
        <v>0</v>
      </c>
      <c r="AM31" s="70" t="s">
        <v>39</v>
      </c>
      <c r="AN31" s="70" t="s">
        <v>59</v>
      </c>
      <c r="AO31" s="70" t="s">
        <v>84</v>
      </c>
    </row>
    <row r="32" spans="1:41" x14ac:dyDescent="0.25">
      <c r="A32" s="70" t="s">
        <v>94</v>
      </c>
      <c r="B32" s="70">
        <v>2017</v>
      </c>
      <c r="C32" s="70" t="s">
        <v>34</v>
      </c>
      <c r="D32" s="70" t="s">
        <v>34</v>
      </c>
      <c r="E32" s="70" t="s">
        <v>64</v>
      </c>
      <c r="F32" s="70">
        <v>5627</v>
      </c>
      <c r="G32" s="70" t="s">
        <v>187</v>
      </c>
      <c r="H32" s="71">
        <v>0</v>
      </c>
      <c r="I32" s="71">
        <v>0</v>
      </c>
      <c r="J32" s="71">
        <v>0</v>
      </c>
      <c r="K32" s="71">
        <v>0</v>
      </c>
      <c r="L32" s="71">
        <v>0</v>
      </c>
      <c r="M32" s="71">
        <v>0</v>
      </c>
      <c r="N32" s="71">
        <v>0</v>
      </c>
      <c r="O32" s="71">
        <v>0</v>
      </c>
      <c r="P32" s="71">
        <v>0</v>
      </c>
      <c r="Q32" s="71">
        <v>219</v>
      </c>
      <c r="R32" s="71">
        <v>269</v>
      </c>
      <c r="S32" s="71">
        <v>249</v>
      </c>
      <c r="T32" s="68">
        <f t="shared" si="1"/>
        <v>737</v>
      </c>
      <c r="U32" s="71">
        <v>0</v>
      </c>
      <c r="V32" s="33">
        <f t="shared" si="2"/>
        <v>0</v>
      </c>
      <c r="W32" s="69">
        <f t="shared" si="3"/>
        <v>1933888</v>
      </c>
      <c r="X32" s="69">
        <f t="shared" si="4"/>
        <v>0</v>
      </c>
      <c r="Y32" s="70" t="s">
        <v>188</v>
      </c>
      <c r="Z32" s="72">
        <v>2624</v>
      </c>
      <c r="AA32" s="70" t="s">
        <v>95</v>
      </c>
      <c r="AB32" s="68">
        <f t="shared" si="5"/>
        <v>-737</v>
      </c>
      <c r="AC32" s="73">
        <v>43012</v>
      </c>
      <c r="AD32" s="73">
        <v>43100</v>
      </c>
      <c r="AE32" s="70" t="s">
        <v>57</v>
      </c>
      <c r="AF32" s="71">
        <v>0</v>
      </c>
      <c r="AG32" s="71">
        <v>0</v>
      </c>
      <c r="AH32" s="32">
        <f t="shared" si="6"/>
        <v>737</v>
      </c>
      <c r="AI32" s="71">
        <v>0</v>
      </c>
      <c r="AJ32" s="33">
        <f t="shared" si="7"/>
        <v>0</v>
      </c>
      <c r="AK32" s="69">
        <f t="shared" si="8"/>
        <v>1933888</v>
      </c>
      <c r="AL32" s="69">
        <f t="shared" si="9"/>
        <v>0</v>
      </c>
      <c r="AM32" s="70" t="s">
        <v>39</v>
      </c>
      <c r="AN32" s="70" t="s">
        <v>59</v>
      </c>
      <c r="AO32" s="70" t="s">
        <v>84</v>
      </c>
    </row>
    <row r="33" spans="1:41" x14ac:dyDescent="0.25">
      <c r="A33" s="70" t="s">
        <v>62</v>
      </c>
      <c r="B33" s="70">
        <v>2017</v>
      </c>
      <c r="C33" s="70" t="s">
        <v>34</v>
      </c>
      <c r="D33" s="70" t="s">
        <v>34</v>
      </c>
      <c r="E33" s="70" t="s">
        <v>64</v>
      </c>
      <c r="F33" s="70">
        <v>5627</v>
      </c>
      <c r="G33" s="70" t="s">
        <v>187</v>
      </c>
      <c r="H33" s="71">
        <v>386</v>
      </c>
      <c r="I33" s="71">
        <v>317</v>
      </c>
      <c r="J33" s="71">
        <v>246</v>
      </c>
      <c r="K33" s="71">
        <v>255</v>
      </c>
      <c r="L33" s="71">
        <v>193</v>
      </c>
      <c r="M33" s="71">
        <v>257</v>
      </c>
      <c r="N33" s="71">
        <v>117</v>
      </c>
      <c r="O33" s="71">
        <v>133</v>
      </c>
      <c r="P33" s="71">
        <v>74</v>
      </c>
      <c r="Q33" s="71">
        <v>26</v>
      </c>
      <c r="R33" s="71">
        <v>0</v>
      </c>
      <c r="S33" s="71">
        <v>0</v>
      </c>
      <c r="T33" s="68">
        <f t="shared" si="1"/>
        <v>2004</v>
      </c>
      <c r="U33" s="71">
        <v>0</v>
      </c>
      <c r="V33" s="33">
        <f t="shared" si="2"/>
        <v>0</v>
      </c>
      <c r="W33" s="69">
        <f t="shared" si="3"/>
        <v>5258496</v>
      </c>
      <c r="X33" s="69">
        <f t="shared" si="4"/>
        <v>0</v>
      </c>
      <c r="Y33" s="70" t="s">
        <v>188</v>
      </c>
      <c r="Z33" s="72">
        <v>2624</v>
      </c>
      <c r="AA33" s="70" t="s">
        <v>63</v>
      </c>
      <c r="AB33" s="68">
        <f t="shared" si="5"/>
        <v>-2004</v>
      </c>
      <c r="AC33" s="73">
        <v>42730</v>
      </c>
      <c r="AD33" s="73">
        <v>43100</v>
      </c>
      <c r="AE33" s="70" t="s">
        <v>57</v>
      </c>
      <c r="AF33" s="71">
        <v>0</v>
      </c>
      <c r="AG33" s="71">
        <v>0</v>
      </c>
      <c r="AH33" s="32">
        <f t="shared" si="6"/>
        <v>2004</v>
      </c>
      <c r="AI33" s="71">
        <v>0</v>
      </c>
      <c r="AJ33" s="33">
        <f t="shared" si="7"/>
        <v>0</v>
      </c>
      <c r="AK33" s="69">
        <f t="shared" si="8"/>
        <v>5258496</v>
      </c>
      <c r="AL33" s="69">
        <f t="shared" si="9"/>
        <v>0</v>
      </c>
      <c r="AM33" s="70" t="s">
        <v>39</v>
      </c>
      <c r="AN33" s="70" t="s">
        <v>59</v>
      </c>
      <c r="AO33" s="70" t="s">
        <v>84</v>
      </c>
    </row>
    <row r="34" spans="1:41" x14ac:dyDescent="0.25">
      <c r="A34" s="70" t="s">
        <v>94</v>
      </c>
      <c r="B34" s="70">
        <v>2017</v>
      </c>
      <c r="C34" s="70" t="s">
        <v>34</v>
      </c>
      <c r="D34" s="70" t="s">
        <v>34</v>
      </c>
      <c r="E34" s="70" t="s">
        <v>64</v>
      </c>
      <c r="F34" s="70">
        <v>5835</v>
      </c>
      <c r="G34" s="70" t="s">
        <v>189</v>
      </c>
      <c r="H34" s="71">
        <v>0</v>
      </c>
      <c r="I34" s="71">
        <v>0</v>
      </c>
      <c r="J34" s="71">
        <v>0</v>
      </c>
      <c r="K34" s="71">
        <v>0</v>
      </c>
      <c r="L34" s="71">
        <v>0</v>
      </c>
      <c r="M34" s="71">
        <v>0</v>
      </c>
      <c r="N34" s="71">
        <v>0</v>
      </c>
      <c r="O34" s="71">
        <v>0</v>
      </c>
      <c r="P34" s="71">
        <v>0</v>
      </c>
      <c r="Q34" s="71">
        <v>119</v>
      </c>
      <c r="R34" s="71">
        <v>179</v>
      </c>
      <c r="S34" s="71">
        <v>130</v>
      </c>
      <c r="T34" s="68">
        <f t="shared" si="1"/>
        <v>428</v>
      </c>
      <c r="U34" s="71">
        <v>0</v>
      </c>
      <c r="V34" s="33">
        <f t="shared" si="2"/>
        <v>0</v>
      </c>
      <c r="W34" s="69">
        <f t="shared" si="3"/>
        <v>997882</v>
      </c>
      <c r="X34" s="69">
        <f t="shared" si="4"/>
        <v>0</v>
      </c>
      <c r="Y34" s="70" t="s">
        <v>188</v>
      </c>
      <c r="Z34" s="72">
        <v>2331.5</v>
      </c>
      <c r="AA34" s="70" t="s">
        <v>95</v>
      </c>
      <c r="AB34" s="68">
        <f t="shared" si="5"/>
        <v>-428</v>
      </c>
      <c r="AC34" s="73">
        <v>43012</v>
      </c>
      <c r="AD34" s="73">
        <v>43100</v>
      </c>
      <c r="AE34" s="70" t="s">
        <v>57</v>
      </c>
      <c r="AF34" s="71">
        <v>0</v>
      </c>
      <c r="AG34" s="71">
        <v>0</v>
      </c>
      <c r="AH34" s="32">
        <f t="shared" si="6"/>
        <v>428</v>
      </c>
      <c r="AI34" s="71">
        <v>0</v>
      </c>
      <c r="AJ34" s="33">
        <f t="shared" si="7"/>
        <v>0</v>
      </c>
      <c r="AK34" s="69">
        <f t="shared" si="8"/>
        <v>997882</v>
      </c>
      <c r="AL34" s="69">
        <f t="shared" si="9"/>
        <v>0</v>
      </c>
      <c r="AM34" s="70" t="s">
        <v>39</v>
      </c>
      <c r="AN34" s="70" t="s">
        <v>59</v>
      </c>
      <c r="AO34" s="70" t="s">
        <v>84</v>
      </c>
    </row>
    <row r="35" spans="1:41" x14ac:dyDescent="0.25">
      <c r="A35" s="70" t="s">
        <v>62</v>
      </c>
      <c r="B35" s="70">
        <v>2017</v>
      </c>
      <c r="C35" s="70" t="s">
        <v>34</v>
      </c>
      <c r="D35" s="70" t="s">
        <v>34</v>
      </c>
      <c r="E35" s="70" t="s">
        <v>64</v>
      </c>
      <c r="F35" s="70">
        <v>5835</v>
      </c>
      <c r="G35" s="70" t="s">
        <v>189</v>
      </c>
      <c r="H35" s="71">
        <v>170</v>
      </c>
      <c r="I35" s="71">
        <v>134</v>
      </c>
      <c r="J35" s="71">
        <v>113</v>
      </c>
      <c r="K35" s="71">
        <v>128</v>
      </c>
      <c r="L35" s="71">
        <v>102</v>
      </c>
      <c r="M35" s="71">
        <v>136</v>
      </c>
      <c r="N35" s="71">
        <v>75</v>
      </c>
      <c r="O35" s="71">
        <v>78</v>
      </c>
      <c r="P35" s="71">
        <v>15</v>
      </c>
      <c r="Q35" s="71">
        <v>0</v>
      </c>
      <c r="R35" s="71">
        <v>0</v>
      </c>
      <c r="S35" s="71">
        <v>0</v>
      </c>
      <c r="T35" s="68">
        <f t="shared" si="1"/>
        <v>951</v>
      </c>
      <c r="U35" s="71">
        <v>0</v>
      </c>
      <c r="V35" s="33">
        <f t="shared" si="2"/>
        <v>0</v>
      </c>
      <c r="W35" s="69">
        <f t="shared" si="3"/>
        <v>2217256.5</v>
      </c>
      <c r="X35" s="69">
        <f t="shared" si="4"/>
        <v>0</v>
      </c>
      <c r="Y35" s="70" t="s">
        <v>188</v>
      </c>
      <c r="Z35" s="72">
        <v>2331.5</v>
      </c>
      <c r="AA35" s="70" t="s">
        <v>63</v>
      </c>
      <c r="AB35" s="68">
        <f t="shared" si="5"/>
        <v>-951</v>
      </c>
      <c r="AC35" s="73">
        <v>42730</v>
      </c>
      <c r="AD35" s="73">
        <v>43100</v>
      </c>
      <c r="AE35" s="70" t="s">
        <v>57</v>
      </c>
      <c r="AF35" s="71">
        <v>0</v>
      </c>
      <c r="AG35" s="71">
        <v>0</v>
      </c>
      <c r="AH35" s="32">
        <f t="shared" si="6"/>
        <v>951</v>
      </c>
      <c r="AI35" s="71">
        <v>0</v>
      </c>
      <c r="AJ35" s="33">
        <f t="shared" si="7"/>
        <v>0</v>
      </c>
      <c r="AK35" s="69">
        <f t="shared" si="8"/>
        <v>2217256.5</v>
      </c>
      <c r="AL35" s="69">
        <f t="shared" si="9"/>
        <v>0</v>
      </c>
      <c r="AM35" s="70" t="s">
        <v>39</v>
      </c>
      <c r="AN35" s="70" t="s">
        <v>59</v>
      </c>
      <c r="AO35" s="70" t="s">
        <v>84</v>
      </c>
    </row>
    <row r="36" spans="1:41" x14ac:dyDescent="0.25">
      <c r="A36" s="70" t="s">
        <v>190</v>
      </c>
      <c r="B36" s="70">
        <v>2017</v>
      </c>
      <c r="C36" s="70" t="s">
        <v>120</v>
      </c>
      <c r="D36" s="70" t="s">
        <v>158</v>
      </c>
      <c r="E36" s="70" t="s">
        <v>158</v>
      </c>
      <c r="F36" s="70">
        <v>5624</v>
      </c>
      <c r="G36" s="70" t="s">
        <v>191</v>
      </c>
      <c r="H36" s="71">
        <v>0</v>
      </c>
      <c r="I36" s="71">
        <v>0</v>
      </c>
      <c r="J36" s="71">
        <v>0</v>
      </c>
      <c r="K36" s="71">
        <v>0</v>
      </c>
      <c r="L36" s="71">
        <v>0</v>
      </c>
      <c r="M36" s="71">
        <v>12</v>
      </c>
      <c r="N36" s="71">
        <v>0</v>
      </c>
      <c r="O36" s="71">
        <v>0</v>
      </c>
      <c r="P36" s="71">
        <v>0</v>
      </c>
      <c r="Q36" s="71">
        <v>0</v>
      </c>
      <c r="R36" s="71">
        <v>0</v>
      </c>
      <c r="S36" s="71">
        <v>0</v>
      </c>
      <c r="T36" s="68">
        <f t="shared" si="1"/>
        <v>12</v>
      </c>
      <c r="U36" s="71">
        <v>12</v>
      </c>
      <c r="V36" s="33">
        <f t="shared" si="2"/>
        <v>1</v>
      </c>
      <c r="W36" s="69">
        <f t="shared" si="3"/>
        <v>88116</v>
      </c>
      <c r="X36" s="69">
        <f t="shared" si="4"/>
        <v>88116</v>
      </c>
      <c r="Y36" s="70" t="s">
        <v>188</v>
      </c>
      <c r="Z36" s="72">
        <v>7343</v>
      </c>
      <c r="AA36" s="70" t="s">
        <v>192</v>
      </c>
      <c r="AB36" s="68">
        <f t="shared" si="5"/>
        <v>0</v>
      </c>
      <c r="AC36" s="73">
        <v>42801</v>
      </c>
      <c r="AD36" s="73">
        <v>43100</v>
      </c>
      <c r="AE36" s="70" t="s">
        <v>57</v>
      </c>
      <c r="AF36" s="71">
        <v>0</v>
      </c>
      <c r="AG36" s="71">
        <v>0</v>
      </c>
      <c r="AH36" s="32">
        <f t="shared" si="6"/>
        <v>12</v>
      </c>
      <c r="AI36" s="71">
        <v>12</v>
      </c>
      <c r="AJ36" s="33">
        <f t="shared" si="7"/>
        <v>1</v>
      </c>
      <c r="AK36" s="69">
        <f t="shared" si="8"/>
        <v>88116</v>
      </c>
      <c r="AL36" s="69">
        <f t="shared" si="9"/>
        <v>88116</v>
      </c>
      <c r="AM36" s="70" t="s">
        <v>81</v>
      </c>
      <c r="AN36" s="70" t="s">
        <v>82</v>
      </c>
      <c r="AO36" s="70" t="s">
        <v>85</v>
      </c>
    </row>
    <row r="37" spans="1:41" x14ac:dyDescent="0.25">
      <c r="A37" s="70">
        <v>51693</v>
      </c>
      <c r="B37" s="70">
        <v>2017</v>
      </c>
      <c r="C37" s="70" t="s">
        <v>120</v>
      </c>
      <c r="D37" s="70" t="s">
        <v>193</v>
      </c>
      <c r="E37" s="70" t="s">
        <v>193</v>
      </c>
      <c r="F37" s="70">
        <v>5613</v>
      </c>
      <c r="G37" s="70" t="s">
        <v>194</v>
      </c>
      <c r="H37" s="71">
        <v>0</v>
      </c>
      <c r="I37" s="71">
        <v>1</v>
      </c>
      <c r="J37" s="71">
        <v>0</v>
      </c>
      <c r="K37" s="71">
        <v>0</v>
      </c>
      <c r="L37" s="71">
        <v>0</v>
      </c>
      <c r="M37" s="71">
        <v>0</v>
      </c>
      <c r="N37" s="71">
        <v>0</v>
      </c>
      <c r="O37" s="71">
        <v>0</v>
      </c>
      <c r="P37" s="71">
        <v>0</v>
      </c>
      <c r="Q37" s="71">
        <v>0</v>
      </c>
      <c r="R37" s="71">
        <v>0</v>
      </c>
      <c r="S37" s="71">
        <v>0</v>
      </c>
      <c r="T37" s="68">
        <f t="shared" si="1"/>
        <v>1</v>
      </c>
      <c r="U37" s="71">
        <v>1</v>
      </c>
      <c r="V37" s="33">
        <f t="shared" si="2"/>
        <v>1</v>
      </c>
      <c r="W37" s="69">
        <f t="shared" si="3"/>
        <v>3655.6</v>
      </c>
      <c r="X37" s="69">
        <f t="shared" si="4"/>
        <v>3655.6</v>
      </c>
      <c r="Y37" s="70" t="s">
        <v>188</v>
      </c>
      <c r="Z37" s="72">
        <v>3655.6</v>
      </c>
      <c r="AA37" s="70" t="s">
        <v>195</v>
      </c>
      <c r="AB37" s="68">
        <f t="shared" si="5"/>
        <v>0</v>
      </c>
      <c r="AC37" s="73">
        <v>42781</v>
      </c>
      <c r="AD37" s="73">
        <v>42809</v>
      </c>
      <c r="AE37" s="70" t="s">
        <v>57</v>
      </c>
      <c r="AF37" s="71">
        <v>0</v>
      </c>
      <c r="AG37" s="71">
        <v>0</v>
      </c>
      <c r="AH37" s="32">
        <f t="shared" si="6"/>
        <v>1</v>
      </c>
      <c r="AI37" s="71">
        <v>1</v>
      </c>
      <c r="AJ37" s="33">
        <f t="shared" si="7"/>
        <v>1</v>
      </c>
      <c r="AK37" s="69">
        <f t="shared" si="8"/>
        <v>3655.6</v>
      </c>
      <c r="AL37" s="69">
        <f t="shared" si="9"/>
        <v>3655.6</v>
      </c>
      <c r="AM37" s="70" t="s">
        <v>119</v>
      </c>
      <c r="AN37" s="70" t="s">
        <v>82</v>
      </c>
      <c r="AO37" s="70" t="s">
        <v>85</v>
      </c>
    </row>
    <row r="38" spans="1:41" x14ac:dyDescent="0.25">
      <c r="A38" s="70">
        <v>1717</v>
      </c>
      <c r="B38" s="70">
        <v>2017</v>
      </c>
      <c r="C38" s="70" t="s">
        <v>120</v>
      </c>
      <c r="D38" s="70" t="s">
        <v>193</v>
      </c>
      <c r="E38" s="70" t="s">
        <v>193</v>
      </c>
      <c r="F38" s="70">
        <v>5624</v>
      </c>
      <c r="G38" s="70" t="s">
        <v>191</v>
      </c>
      <c r="H38" s="71">
        <v>0</v>
      </c>
      <c r="I38" s="71">
        <v>0</v>
      </c>
      <c r="J38" s="71">
        <v>0</v>
      </c>
      <c r="K38" s="71">
        <v>0</v>
      </c>
      <c r="L38" s="71">
        <v>0</v>
      </c>
      <c r="M38" s="71">
        <v>0</v>
      </c>
      <c r="N38" s="71">
        <v>0</v>
      </c>
      <c r="O38" s="71">
        <v>2</v>
      </c>
      <c r="P38" s="71">
        <v>0</v>
      </c>
      <c r="Q38" s="71">
        <v>0</v>
      </c>
      <c r="R38" s="71">
        <v>0</v>
      </c>
      <c r="S38" s="71">
        <v>0</v>
      </c>
      <c r="T38" s="68">
        <f t="shared" si="1"/>
        <v>2</v>
      </c>
      <c r="U38" s="71">
        <v>2</v>
      </c>
      <c r="V38" s="33">
        <f t="shared" si="2"/>
        <v>1</v>
      </c>
      <c r="W38" s="69">
        <f t="shared" si="3"/>
        <v>14686</v>
      </c>
      <c r="X38" s="69">
        <f t="shared" si="4"/>
        <v>14686</v>
      </c>
      <c r="Y38" s="70" t="s">
        <v>188</v>
      </c>
      <c r="Z38" s="72">
        <v>7343</v>
      </c>
      <c r="AA38" s="70" t="s">
        <v>196</v>
      </c>
      <c r="AB38" s="68">
        <f t="shared" si="5"/>
        <v>0</v>
      </c>
      <c r="AC38" s="73">
        <v>42976</v>
      </c>
      <c r="AD38" s="73">
        <v>43007</v>
      </c>
      <c r="AE38" s="70" t="s">
        <v>57</v>
      </c>
      <c r="AF38" s="71">
        <v>0</v>
      </c>
      <c r="AG38" s="71">
        <v>0</v>
      </c>
      <c r="AH38" s="32">
        <f t="shared" si="6"/>
        <v>2</v>
      </c>
      <c r="AI38" s="71">
        <v>2</v>
      </c>
      <c r="AJ38" s="33">
        <f t="shared" si="7"/>
        <v>1</v>
      </c>
      <c r="AK38" s="69">
        <f t="shared" si="8"/>
        <v>14686</v>
      </c>
      <c r="AL38" s="69">
        <f t="shared" si="9"/>
        <v>14686</v>
      </c>
      <c r="AM38" s="70" t="s">
        <v>119</v>
      </c>
      <c r="AN38" s="70" t="s">
        <v>82</v>
      </c>
      <c r="AO38" s="70" t="s">
        <v>85</v>
      </c>
    </row>
    <row r="39" spans="1:41" x14ac:dyDescent="0.25">
      <c r="A39" s="70">
        <v>52879</v>
      </c>
      <c r="B39" s="70">
        <v>2017</v>
      </c>
      <c r="C39" s="70" t="s">
        <v>120</v>
      </c>
      <c r="D39" s="70" t="s">
        <v>193</v>
      </c>
      <c r="E39" s="70" t="s">
        <v>193</v>
      </c>
      <c r="F39" s="70">
        <v>5627</v>
      </c>
      <c r="G39" s="70" t="s">
        <v>187</v>
      </c>
      <c r="H39" s="71">
        <v>0</v>
      </c>
      <c r="I39" s="71">
        <v>0</v>
      </c>
      <c r="J39" s="71">
        <v>0</v>
      </c>
      <c r="K39" s="71">
        <v>0</v>
      </c>
      <c r="L39" s="71">
        <v>2</v>
      </c>
      <c r="M39" s="71">
        <v>0</v>
      </c>
      <c r="N39" s="71">
        <v>0</v>
      </c>
      <c r="O39" s="71">
        <v>0</v>
      </c>
      <c r="P39" s="71">
        <v>0</v>
      </c>
      <c r="Q39" s="71">
        <v>0</v>
      </c>
      <c r="R39" s="71">
        <v>0</v>
      </c>
      <c r="S39" s="71">
        <v>0</v>
      </c>
      <c r="T39" s="68">
        <f t="shared" si="1"/>
        <v>2</v>
      </c>
      <c r="U39" s="71">
        <v>2</v>
      </c>
      <c r="V39" s="33">
        <f t="shared" si="2"/>
        <v>1</v>
      </c>
      <c r="W39" s="69">
        <f t="shared" si="3"/>
        <v>5248</v>
      </c>
      <c r="X39" s="69">
        <f t="shared" si="4"/>
        <v>5248</v>
      </c>
      <c r="Y39" s="70" t="s">
        <v>188</v>
      </c>
      <c r="Z39" s="72">
        <v>2624</v>
      </c>
      <c r="AA39" s="70" t="s">
        <v>197</v>
      </c>
      <c r="AB39" s="68">
        <f t="shared" si="5"/>
        <v>0</v>
      </c>
      <c r="AC39" s="73">
        <v>42853</v>
      </c>
      <c r="AD39" s="73">
        <v>42883</v>
      </c>
      <c r="AE39" s="70" t="s">
        <v>57</v>
      </c>
      <c r="AF39" s="71">
        <v>0</v>
      </c>
      <c r="AG39" s="71">
        <v>0</v>
      </c>
      <c r="AH39" s="32">
        <f t="shared" si="6"/>
        <v>2</v>
      </c>
      <c r="AI39" s="71">
        <v>2</v>
      </c>
      <c r="AJ39" s="33">
        <f t="shared" si="7"/>
        <v>1</v>
      </c>
      <c r="AK39" s="69">
        <f t="shared" si="8"/>
        <v>5248</v>
      </c>
      <c r="AL39" s="69">
        <f t="shared" si="9"/>
        <v>5248</v>
      </c>
      <c r="AM39" s="70" t="s">
        <v>119</v>
      </c>
      <c r="AN39" s="70" t="s">
        <v>82</v>
      </c>
      <c r="AO39" s="70" t="s">
        <v>85</v>
      </c>
    </row>
    <row r="40" spans="1:41" x14ac:dyDescent="0.25">
      <c r="A40" s="70">
        <v>52701</v>
      </c>
      <c r="B40" s="70">
        <v>2017</v>
      </c>
      <c r="C40" s="70" t="s">
        <v>120</v>
      </c>
      <c r="D40" s="70" t="s">
        <v>193</v>
      </c>
      <c r="E40" s="70" t="s">
        <v>193</v>
      </c>
      <c r="F40" s="70">
        <v>5835</v>
      </c>
      <c r="G40" s="70" t="s">
        <v>189</v>
      </c>
      <c r="H40" s="71">
        <v>0</v>
      </c>
      <c r="I40" s="71">
        <v>0</v>
      </c>
      <c r="J40" s="71">
        <v>0</v>
      </c>
      <c r="K40" s="71">
        <v>1</v>
      </c>
      <c r="L40" s="71">
        <v>0</v>
      </c>
      <c r="M40" s="71">
        <v>2</v>
      </c>
      <c r="N40" s="71">
        <v>0</v>
      </c>
      <c r="O40" s="71">
        <v>0</v>
      </c>
      <c r="P40" s="71">
        <v>0</v>
      </c>
      <c r="Q40" s="71">
        <v>0</v>
      </c>
      <c r="R40" s="71">
        <v>0</v>
      </c>
      <c r="S40" s="71">
        <v>0</v>
      </c>
      <c r="T40" s="68">
        <f t="shared" si="1"/>
        <v>3</v>
      </c>
      <c r="U40" s="71">
        <v>3</v>
      </c>
      <c r="V40" s="33">
        <f t="shared" si="2"/>
        <v>1</v>
      </c>
      <c r="W40" s="69">
        <f t="shared" si="3"/>
        <v>6994.5</v>
      </c>
      <c r="X40" s="69">
        <f t="shared" si="4"/>
        <v>6994.5</v>
      </c>
      <c r="Y40" s="70" t="s">
        <v>188</v>
      </c>
      <c r="Z40" s="72">
        <v>2331.5</v>
      </c>
      <c r="AA40" s="70" t="s">
        <v>198</v>
      </c>
      <c r="AB40" s="68">
        <f t="shared" si="5"/>
        <v>0</v>
      </c>
      <c r="AC40" s="73">
        <v>42835</v>
      </c>
      <c r="AD40" s="73">
        <v>43079</v>
      </c>
      <c r="AE40" s="70" t="s">
        <v>57</v>
      </c>
      <c r="AF40" s="71">
        <v>0</v>
      </c>
      <c r="AG40" s="71">
        <v>0</v>
      </c>
      <c r="AH40" s="32">
        <f t="shared" si="6"/>
        <v>3</v>
      </c>
      <c r="AI40" s="71">
        <v>3</v>
      </c>
      <c r="AJ40" s="33">
        <f t="shared" si="7"/>
        <v>1</v>
      </c>
      <c r="AK40" s="69">
        <f t="shared" si="8"/>
        <v>6994.5</v>
      </c>
      <c r="AL40" s="69">
        <f t="shared" si="9"/>
        <v>6994.5</v>
      </c>
      <c r="AM40" s="70" t="s">
        <v>119</v>
      </c>
      <c r="AN40" s="70" t="s">
        <v>82</v>
      </c>
      <c r="AO40" s="70" t="s">
        <v>85</v>
      </c>
    </row>
    <row r="41" spans="1:41" x14ac:dyDescent="0.25">
      <c r="A41" s="70">
        <v>53835</v>
      </c>
      <c r="B41" s="70">
        <v>2017</v>
      </c>
      <c r="C41" s="70" t="s">
        <v>120</v>
      </c>
      <c r="D41" s="70" t="s">
        <v>199</v>
      </c>
      <c r="E41" s="70" t="s">
        <v>199</v>
      </c>
      <c r="F41" s="70">
        <v>6013</v>
      </c>
      <c r="G41" s="70" t="s">
        <v>200</v>
      </c>
      <c r="H41" s="71">
        <v>0</v>
      </c>
      <c r="I41" s="71">
        <v>0</v>
      </c>
      <c r="J41" s="71">
        <v>0</v>
      </c>
      <c r="K41" s="71">
        <v>0</v>
      </c>
      <c r="L41" s="71">
        <v>0</v>
      </c>
      <c r="M41" s="71">
        <v>0</v>
      </c>
      <c r="N41" s="71">
        <v>0</v>
      </c>
      <c r="O41" s="71">
        <v>2</v>
      </c>
      <c r="P41" s="71">
        <v>0</v>
      </c>
      <c r="Q41" s="71">
        <v>0</v>
      </c>
      <c r="R41" s="71">
        <v>0</v>
      </c>
      <c r="S41" s="71">
        <v>0</v>
      </c>
      <c r="T41" s="68">
        <f t="shared" si="1"/>
        <v>2</v>
      </c>
      <c r="U41" s="71">
        <v>2</v>
      </c>
      <c r="V41" s="33">
        <f t="shared" si="2"/>
        <v>1</v>
      </c>
      <c r="W41" s="69">
        <f t="shared" si="3"/>
        <v>13356</v>
      </c>
      <c r="X41" s="69">
        <f t="shared" si="4"/>
        <v>13356</v>
      </c>
      <c r="Y41" s="70" t="s">
        <v>188</v>
      </c>
      <c r="Z41" s="72">
        <v>6678</v>
      </c>
      <c r="AA41" s="70" t="s">
        <v>201</v>
      </c>
      <c r="AB41" s="68">
        <f t="shared" si="5"/>
        <v>0</v>
      </c>
      <c r="AC41" s="73">
        <v>42963</v>
      </c>
      <c r="AD41" s="73">
        <v>42994</v>
      </c>
      <c r="AE41" s="70" t="s">
        <v>57</v>
      </c>
      <c r="AF41" s="71">
        <v>0</v>
      </c>
      <c r="AG41" s="71">
        <v>0</v>
      </c>
      <c r="AH41" s="32">
        <f t="shared" si="6"/>
        <v>2</v>
      </c>
      <c r="AI41" s="71">
        <v>2</v>
      </c>
      <c r="AJ41" s="33">
        <f t="shared" si="7"/>
        <v>1</v>
      </c>
      <c r="AK41" s="69">
        <f t="shared" si="8"/>
        <v>13356</v>
      </c>
      <c r="AL41" s="69">
        <f t="shared" si="9"/>
        <v>13356</v>
      </c>
      <c r="AM41" s="70" t="s">
        <v>91</v>
      </c>
      <c r="AN41" s="70" t="s">
        <v>82</v>
      </c>
      <c r="AO41" s="70" t="s">
        <v>85</v>
      </c>
    </row>
    <row r="42" spans="1:41" x14ac:dyDescent="0.25">
      <c r="A42" s="70" t="s">
        <v>202</v>
      </c>
      <c r="B42" s="70">
        <v>2017</v>
      </c>
      <c r="C42" s="70" t="s">
        <v>120</v>
      </c>
      <c r="D42" s="70" t="s">
        <v>199</v>
      </c>
      <c r="E42" s="70" t="s">
        <v>199</v>
      </c>
      <c r="F42" s="70">
        <v>6013</v>
      </c>
      <c r="G42" s="70" t="s">
        <v>200</v>
      </c>
      <c r="H42" s="71">
        <v>0</v>
      </c>
      <c r="I42" s="71">
        <v>0</v>
      </c>
      <c r="J42" s="71">
        <v>0</v>
      </c>
      <c r="K42" s="71">
        <v>0</v>
      </c>
      <c r="L42" s="71">
        <v>0</v>
      </c>
      <c r="M42" s="71">
        <v>0</v>
      </c>
      <c r="N42" s="71">
        <v>0</v>
      </c>
      <c r="O42" s="71">
        <v>0</v>
      </c>
      <c r="P42" s="71">
        <v>12</v>
      </c>
      <c r="Q42" s="71">
        <v>0</v>
      </c>
      <c r="R42" s="71">
        <v>0</v>
      </c>
      <c r="S42" s="71">
        <v>0</v>
      </c>
      <c r="T42" s="68">
        <f t="shared" si="1"/>
        <v>12</v>
      </c>
      <c r="U42" s="71">
        <v>12</v>
      </c>
      <c r="V42" s="33">
        <f t="shared" si="2"/>
        <v>1</v>
      </c>
      <c r="W42" s="69">
        <f t="shared" si="3"/>
        <v>83505.600000000006</v>
      </c>
      <c r="X42" s="69">
        <f t="shared" si="4"/>
        <v>83505.600000000006</v>
      </c>
      <c r="Y42" s="70" t="s">
        <v>188</v>
      </c>
      <c r="Z42" s="72">
        <v>6958.8</v>
      </c>
      <c r="AA42" s="70" t="s">
        <v>203</v>
      </c>
      <c r="AB42" s="68">
        <f t="shared" si="5"/>
        <v>0</v>
      </c>
      <c r="AC42" s="73">
        <v>42996</v>
      </c>
      <c r="AD42" s="73">
        <v>43026</v>
      </c>
      <c r="AE42" s="70" t="s">
        <v>57</v>
      </c>
      <c r="AF42" s="71">
        <v>0</v>
      </c>
      <c r="AG42" s="71">
        <v>0</v>
      </c>
      <c r="AH42" s="32">
        <f t="shared" si="6"/>
        <v>12</v>
      </c>
      <c r="AI42" s="71">
        <v>12</v>
      </c>
      <c r="AJ42" s="33">
        <f t="shared" si="7"/>
        <v>1</v>
      </c>
      <c r="AK42" s="69">
        <f t="shared" si="8"/>
        <v>83505.600000000006</v>
      </c>
      <c r="AL42" s="69">
        <f t="shared" si="9"/>
        <v>83505.600000000006</v>
      </c>
      <c r="AM42" s="70" t="s">
        <v>91</v>
      </c>
      <c r="AN42" s="70" t="s">
        <v>82</v>
      </c>
      <c r="AO42" s="70" t="s">
        <v>85</v>
      </c>
    </row>
    <row r="43" spans="1:41" x14ac:dyDescent="0.25">
      <c r="A43" s="70">
        <v>52292</v>
      </c>
      <c r="B43" s="70">
        <v>2017</v>
      </c>
      <c r="C43" s="70" t="s">
        <v>120</v>
      </c>
      <c r="D43" s="70" t="s">
        <v>121</v>
      </c>
      <c r="E43" s="70" t="s">
        <v>121</v>
      </c>
      <c r="F43" s="70">
        <v>5626</v>
      </c>
      <c r="G43" s="70" t="s">
        <v>204</v>
      </c>
      <c r="H43" s="71">
        <v>0</v>
      </c>
      <c r="I43" s="71">
        <v>0</v>
      </c>
      <c r="J43" s="71">
        <v>2</v>
      </c>
      <c r="K43" s="71">
        <v>0</v>
      </c>
      <c r="L43" s="71">
        <v>0</v>
      </c>
      <c r="M43" s="71">
        <v>0</v>
      </c>
      <c r="N43" s="71">
        <v>0</v>
      </c>
      <c r="O43" s="71">
        <v>0</v>
      </c>
      <c r="P43" s="71">
        <v>0</v>
      </c>
      <c r="Q43" s="71">
        <v>0</v>
      </c>
      <c r="R43" s="71">
        <v>0</v>
      </c>
      <c r="S43" s="71">
        <v>0</v>
      </c>
      <c r="T43" s="68">
        <f t="shared" si="1"/>
        <v>2</v>
      </c>
      <c r="U43" s="71">
        <v>2</v>
      </c>
      <c r="V43" s="33">
        <f t="shared" si="2"/>
        <v>1</v>
      </c>
      <c r="W43" s="69">
        <f t="shared" si="3"/>
        <v>3936</v>
      </c>
      <c r="X43" s="69">
        <f t="shared" si="4"/>
        <v>3936</v>
      </c>
      <c r="Y43" s="70" t="s">
        <v>188</v>
      </c>
      <c r="Z43" s="72">
        <v>1968</v>
      </c>
      <c r="AA43" s="70" t="s">
        <v>205</v>
      </c>
      <c r="AB43" s="68">
        <f t="shared" si="5"/>
        <v>0</v>
      </c>
      <c r="AC43" s="73">
        <v>42807</v>
      </c>
      <c r="AD43" s="73">
        <v>42838</v>
      </c>
      <c r="AE43" s="70" t="s">
        <v>57</v>
      </c>
      <c r="AF43" s="71">
        <v>0</v>
      </c>
      <c r="AG43" s="71">
        <v>0</v>
      </c>
      <c r="AH43" s="32">
        <f t="shared" si="6"/>
        <v>2</v>
      </c>
      <c r="AI43" s="71">
        <v>2</v>
      </c>
      <c r="AJ43" s="33">
        <f t="shared" si="7"/>
        <v>1</v>
      </c>
      <c r="AK43" s="69">
        <f t="shared" si="8"/>
        <v>3936</v>
      </c>
      <c r="AL43" s="69">
        <f t="shared" si="9"/>
        <v>3936</v>
      </c>
      <c r="AM43" s="70" t="s">
        <v>116</v>
      </c>
      <c r="AN43" s="70" t="s">
        <v>82</v>
      </c>
      <c r="AO43" s="70" t="s">
        <v>85</v>
      </c>
    </row>
    <row r="44" spans="1:41" x14ac:dyDescent="0.25">
      <c r="A44" s="70">
        <v>52327</v>
      </c>
      <c r="B44" s="70">
        <v>2017</v>
      </c>
      <c r="C44" s="70" t="s">
        <v>120</v>
      </c>
      <c r="D44" s="70" t="s">
        <v>121</v>
      </c>
      <c r="E44" s="70" t="s">
        <v>121</v>
      </c>
      <c r="F44" s="70">
        <v>5626</v>
      </c>
      <c r="G44" s="70" t="s">
        <v>204</v>
      </c>
      <c r="H44" s="71">
        <v>0</v>
      </c>
      <c r="I44" s="71">
        <v>0</v>
      </c>
      <c r="J44" s="71">
        <v>1</v>
      </c>
      <c r="K44" s="71">
        <v>0</v>
      </c>
      <c r="L44" s="71">
        <v>0</v>
      </c>
      <c r="M44" s="71">
        <v>0</v>
      </c>
      <c r="N44" s="71">
        <v>0</v>
      </c>
      <c r="O44" s="71">
        <v>0</v>
      </c>
      <c r="P44" s="71">
        <v>0</v>
      </c>
      <c r="Q44" s="71">
        <v>0</v>
      </c>
      <c r="R44" s="71">
        <v>0</v>
      </c>
      <c r="S44" s="71">
        <v>0</v>
      </c>
      <c r="T44" s="68">
        <f t="shared" si="1"/>
        <v>1</v>
      </c>
      <c r="U44" s="71">
        <v>1</v>
      </c>
      <c r="V44" s="33">
        <f t="shared" si="2"/>
        <v>1</v>
      </c>
      <c r="W44" s="69">
        <f t="shared" si="3"/>
        <v>1968</v>
      </c>
      <c r="X44" s="69">
        <f t="shared" si="4"/>
        <v>1968</v>
      </c>
      <c r="Y44" s="70" t="s">
        <v>188</v>
      </c>
      <c r="Z44" s="72">
        <v>1968</v>
      </c>
      <c r="AA44" s="70" t="s">
        <v>135</v>
      </c>
      <c r="AB44" s="68">
        <f t="shared" si="5"/>
        <v>0</v>
      </c>
      <c r="AC44" s="73">
        <v>42809</v>
      </c>
      <c r="AD44" s="73">
        <v>42840</v>
      </c>
      <c r="AE44" s="70" t="s">
        <v>57</v>
      </c>
      <c r="AF44" s="71">
        <v>0</v>
      </c>
      <c r="AG44" s="71">
        <v>0</v>
      </c>
      <c r="AH44" s="32">
        <f t="shared" si="6"/>
        <v>1</v>
      </c>
      <c r="AI44" s="71">
        <v>1</v>
      </c>
      <c r="AJ44" s="33">
        <f t="shared" si="7"/>
        <v>1</v>
      </c>
      <c r="AK44" s="69">
        <f t="shared" si="8"/>
        <v>1968</v>
      </c>
      <c r="AL44" s="69">
        <f t="shared" si="9"/>
        <v>1968</v>
      </c>
      <c r="AM44" s="70" t="s">
        <v>116</v>
      </c>
      <c r="AN44" s="70" t="s">
        <v>82</v>
      </c>
      <c r="AO44" s="70" t="s">
        <v>85</v>
      </c>
    </row>
    <row r="45" spans="1:41" x14ac:dyDescent="0.25">
      <c r="A45" s="70">
        <v>52696</v>
      </c>
      <c r="B45" s="70">
        <v>2017</v>
      </c>
      <c r="C45" s="70" t="s">
        <v>120</v>
      </c>
      <c r="D45" s="70" t="s">
        <v>121</v>
      </c>
      <c r="E45" s="70" t="s">
        <v>121</v>
      </c>
      <c r="F45" s="70">
        <v>5626</v>
      </c>
      <c r="G45" s="70" t="s">
        <v>204</v>
      </c>
      <c r="H45" s="71">
        <v>0</v>
      </c>
      <c r="I45" s="71">
        <v>0</v>
      </c>
      <c r="J45" s="71">
        <v>0</v>
      </c>
      <c r="K45" s="71">
        <v>10</v>
      </c>
      <c r="L45" s="71">
        <v>0</v>
      </c>
      <c r="M45" s="71">
        <v>0</v>
      </c>
      <c r="N45" s="71">
        <v>0</v>
      </c>
      <c r="O45" s="71">
        <v>0</v>
      </c>
      <c r="P45" s="71">
        <v>0</v>
      </c>
      <c r="Q45" s="71">
        <v>0</v>
      </c>
      <c r="R45" s="71">
        <v>0</v>
      </c>
      <c r="S45" s="71">
        <v>0</v>
      </c>
      <c r="T45" s="68">
        <f t="shared" si="1"/>
        <v>10</v>
      </c>
      <c r="U45" s="71">
        <v>10</v>
      </c>
      <c r="V45" s="33">
        <f t="shared" si="2"/>
        <v>1</v>
      </c>
      <c r="W45" s="69">
        <f t="shared" si="3"/>
        <v>19680</v>
      </c>
      <c r="X45" s="69">
        <f t="shared" si="4"/>
        <v>19680</v>
      </c>
      <c r="Y45" s="70" t="s">
        <v>188</v>
      </c>
      <c r="Z45" s="72">
        <v>1968</v>
      </c>
      <c r="AA45" s="70" t="s">
        <v>206</v>
      </c>
      <c r="AB45" s="68">
        <f t="shared" si="5"/>
        <v>0</v>
      </c>
      <c r="AC45" s="73">
        <v>42835</v>
      </c>
      <c r="AD45" s="73">
        <v>42865</v>
      </c>
      <c r="AE45" s="70" t="s">
        <v>57</v>
      </c>
      <c r="AF45" s="71">
        <v>0</v>
      </c>
      <c r="AG45" s="71">
        <v>0</v>
      </c>
      <c r="AH45" s="32">
        <f t="shared" si="6"/>
        <v>10</v>
      </c>
      <c r="AI45" s="71">
        <v>10</v>
      </c>
      <c r="AJ45" s="33">
        <f t="shared" si="7"/>
        <v>1</v>
      </c>
      <c r="AK45" s="69">
        <f t="shared" si="8"/>
        <v>19680</v>
      </c>
      <c r="AL45" s="69">
        <f t="shared" si="9"/>
        <v>19680</v>
      </c>
      <c r="AM45" s="70" t="s">
        <v>116</v>
      </c>
      <c r="AN45" s="70" t="s">
        <v>82</v>
      </c>
      <c r="AO45" s="70" t="s">
        <v>85</v>
      </c>
    </row>
    <row r="46" spans="1:41" x14ac:dyDescent="0.25">
      <c r="A46" s="70">
        <v>52771</v>
      </c>
      <c r="B46" s="70">
        <v>2017</v>
      </c>
      <c r="C46" s="70" t="s">
        <v>120</v>
      </c>
      <c r="D46" s="70" t="s">
        <v>121</v>
      </c>
      <c r="E46" s="70" t="s">
        <v>121</v>
      </c>
      <c r="F46" s="70">
        <v>5626</v>
      </c>
      <c r="G46" s="70" t="s">
        <v>204</v>
      </c>
      <c r="H46" s="71">
        <v>0</v>
      </c>
      <c r="I46" s="71">
        <v>0</v>
      </c>
      <c r="J46" s="71">
        <v>0</v>
      </c>
      <c r="K46" s="71">
        <v>3</v>
      </c>
      <c r="L46" s="71">
        <v>0</v>
      </c>
      <c r="M46" s="71">
        <v>0</v>
      </c>
      <c r="N46" s="71">
        <v>0</v>
      </c>
      <c r="O46" s="71">
        <v>0</v>
      </c>
      <c r="P46" s="71">
        <v>0</v>
      </c>
      <c r="Q46" s="71">
        <v>0</v>
      </c>
      <c r="R46" s="71">
        <v>0</v>
      </c>
      <c r="S46" s="71">
        <v>0</v>
      </c>
      <c r="T46" s="68">
        <f t="shared" si="1"/>
        <v>3</v>
      </c>
      <c r="U46" s="71">
        <v>3</v>
      </c>
      <c r="V46" s="33">
        <f t="shared" si="2"/>
        <v>1</v>
      </c>
      <c r="W46" s="69">
        <f t="shared" si="3"/>
        <v>5904</v>
      </c>
      <c r="X46" s="69">
        <f t="shared" si="4"/>
        <v>5904</v>
      </c>
      <c r="Y46" s="70" t="s">
        <v>188</v>
      </c>
      <c r="Z46" s="72">
        <v>1968</v>
      </c>
      <c r="AA46" s="70" t="s">
        <v>207</v>
      </c>
      <c r="AB46" s="68">
        <f t="shared" si="5"/>
        <v>0</v>
      </c>
      <c r="AC46" s="73">
        <v>42843</v>
      </c>
      <c r="AD46" s="73">
        <v>42873</v>
      </c>
      <c r="AE46" s="70" t="s">
        <v>57</v>
      </c>
      <c r="AF46" s="71">
        <v>0</v>
      </c>
      <c r="AG46" s="71">
        <v>0</v>
      </c>
      <c r="AH46" s="32">
        <f t="shared" si="6"/>
        <v>3</v>
      </c>
      <c r="AI46" s="71">
        <v>3</v>
      </c>
      <c r="AJ46" s="33">
        <f t="shared" si="7"/>
        <v>1</v>
      </c>
      <c r="AK46" s="69">
        <f t="shared" si="8"/>
        <v>5904</v>
      </c>
      <c r="AL46" s="69">
        <f t="shared" si="9"/>
        <v>5904</v>
      </c>
      <c r="AM46" s="70" t="s">
        <v>116</v>
      </c>
      <c r="AN46" s="70" t="s">
        <v>82</v>
      </c>
      <c r="AO46" s="70" t="s">
        <v>85</v>
      </c>
    </row>
    <row r="47" spans="1:41" x14ac:dyDescent="0.25">
      <c r="A47" s="70">
        <v>52963</v>
      </c>
      <c r="B47" s="70">
        <v>2017</v>
      </c>
      <c r="C47" s="70" t="s">
        <v>120</v>
      </c>
      <c r="D47" s="70" t="s">
        <v>121</v>
      </c>
      <c r="E47" s="70" t="s">
        <v>121</v>
      </c>
      <c r="F47" s="70">
        <v>5626</v>
      </c>
      <c r="G47" s="70" t="s">
        <v>204</v>
      </c>
      <c r="H47" s="71">
        <v>0</v>
      </c>
      <c r="I47" s="71">
        <v>0</v>
      </c>
      <c r="J47" s="71">
        <v>0</v>
      </c>
      <c r="K47" s="71">
        <v>0</v>
      </c>
      <c r="L47" s="71">
        <v>31</v>
      </c>
      <c r="M47" s="71">
        <v>0</v>
      </c>
      <c r="N47" s="71">
        <v>0</v>
      </c>
      <c r="O47" s="71">
        <v>0</v>
      </c>
      <c r="P47" s="71">
        <v>0</v>
      </c>
      <c r="Q47" s="71">
        <v>0</v>
      </c>
      <c r="R47" s="71">
        <v>0</v>
      </c>
      <c r="S47" s="71">
        <v>0</v>
      </c>
      <c r="T47" s="68">
        <f t="shared" si="1"/>
        <v>31</v>
      </c>
      <c r="U47" s="71">
        <v>31</v>
      </c>
      <c r="V47" s="33">
        <f t="shared" si="2"/>
        <v>1</v>
      </c>
      <c r="W47" s="69">
        <f t="shared" si="3"/>
        <v>61008</v>
      </c>
      <c r="X47" s="69">
        <f t="shared" si="4"/>
        <v>61008</v>
      </c>
      <c r="Y47" s="70" t="s">
        <v>188</v>
      </c>
      <c r="Z47" s="72">
        <v>1968</v>
      </c>
      <c r="AA47" s="70" t="s">
        <v>208</v>
      </c>
      <c r="AB47" s="68">
        <f t="shared" si="5"/>
        <v>0</v>
      </c>
      <c r="AC47" s="73">
        <v>42864</v>
      </c>
      <c r="AD47" s="73">
        <v>42895</v>
      </c>
      <c r="AE47" s="70" t="s">
        <v>57</v>
      </c>
      <c r="AF47" s="71">
        <v>0</v>
      </c>
      <c r="AG47" s="71">
        <v>0</v>
      </c>
      <c r="AH47" s="32">
        <f t="shared" si="6"/>
        <v>31</v>
      </c>
      <c r="AI47" s="71">
        <v>31</v>
      </c>
      <c r="AJ47" s="33">
        <f t="shared" si="7"/>
        <v>1</v>
      </c>
      <c r="AK47" s="69">
        <f t="shared" si="8"/>
        <v>61008</v>
      </c>
      <c r="AL47" s="69">
        <f t="shared" si="9"/>
        <v>61008</v>
      </c>
      <c r="AM47" s="70" t="s">
        <v>116</v>
      </c>
      <c r="AN47" s="70" t="s">
        <v>82</v>
      </c>
      <c r="AO47" s="70" t="s">
        <v>85</v>
      </c>
    </row>
    <row r="48" spans="1:41" x14ac:dyDescent="0.25">
      <c r="A48" s="70">
        <v>52292</v>
      </c>
      <c r="B48" s="70">
        <v>2017</v>
      </c>
      <c r="C48" s="70" t="s">
        <v>120</v>
      </c>
      <c r="D48" s="70" t="s">
        <v>121</v>
      </c>
      <c r="E48" s="70" t="s">
        <v>121</v>
      </c>
      <c r="F48" s="70">
        <v>5627</v>
      </c>
      <c r="G48" s="70" t="s">
        <v>187</v>
      </c>
      <c r="H48" s="71">
        <v>0</v>
      </c>
      <c r="I48" s="71">
        <v>0</v>
      </c>
      <c r="J48" s="71">
        <v>6</v>
      </c>
      <c r="K48" s="71">
        <v>0</v>
      </c>
      <c r="L48" s="71">
        <v>0</v>
      </c>
      <c r="M48" s="71">
        <v>0</v>
      </c>
      <c r="N48" s="71">
        <v>0</v>
      </c>
      <c r="O48" s="71">
        <v>0</v>
      </c>
      <c r="P48" s="71">
        <v>0</v>
      </c>
      <c r="Q48" s="71">
        <v>0</v>
      </c>
      <c r="R48" s="71">
        <v>0</v>
      </c>
      <c r="S48" s="71">
        <v>0</v>
      </c>
      <c r="T48" s="68">
        <f t="shared" si="1"/>
        <v>6</v>
      </c>
      <c r="U48" s="71">
        <v>6</v>
      </c>
      <c r="V48" s="33">
        <f t="shared" si="2"/>
        <v>1</v>
      </c>
      <c r="W48" s="69">
        <f t="shared" si="3"/>
        <v>15744</v>
      </c>
      <c r="X48" s="69">
        <f t="shared" si="4"/>
        <v>15744</v>
      </c>
      <c r="Y48" s="70" t="s">
        <v>188</v>
      </c>
      <c r="Z48" s="72">
        <v>2624</v>
      </c>
      <c r="AA48" s="70" t="s">
        <v>205</v>
      </c>
      <c r="AB48" s="68">
        <f t="shared" si="5"/>
        <v>0</v>
      </c>
      <c r="AC48" s="73">
        <v>42807</v>
      </c>
      <c r="AD48" s="73">
        <v>42838</v>
      </c>
      <c r="AE48" s="70" t="s">
        <v>57</v>
      </c>
      <c r="AF48" s="71">
        <v>0</v>
      </c>
      <c r="AG48" s="71">
        <v>0</v>
      </c>
      <c r="AH48" s="32">
        <f t="shared" si="6"/>
        <v>6</v>
      </c>
      <c r="AI48" s="71">
        <v>6</v>
      </c>
      <c r="AJ48" s="33">
        <f t="shared" si="7"/>
        <v>1</v>
      </c>
      <c r="AK48" s="69">
        <f t="shared" si="8"/>
        <v>15744</v>
      </c>
      <c r="AL48" s="69">
        <f t="shared" si="9"/>
        <v>15744</v>
      </c>
      <c r="AM48" s="70" t="s">
        <v>116</v>
      </c>
      <c r="AN48" s="70" t="s">
        <v>82</v>
      </c>
      <c r="AO48" s="70" t="s">
        <v>85</v>
      </c>
    </row>
    <row r="49" spans="1:41" x14ac:dyDescent="0.25">
      <c r="A49" s="70">
        <v>52327</v>
      </c>
      <c r="B49" s="70">
        <v>2017</v>
      </c>
      <c r="C49" s="70" t="s">
        <v>120</v>
      </c>
      <c r="D49" s="70" t="s">
        <v>121</v>
      </c>
      <c r="E49" s="70" t="s">
        <v>121</v>
      </c>
      <c r="F49" s="70">
        <v>5627</v>
      </c>
      <c r="G49" s="70" t="s">
        <v>187</v>
      </c>
      <c r="H49" s="71">
        <v>0</v>
      </c>
      <c r="I49" s="71">
        <v>0</v>
      </c>
      <c r="J49" s="71">
        <v>21</v>
      </c>
      <c r="K49" s="71">
        <v>0</v>
      </c>
      <c r="L49" s="71">
        <v>0</v>
      </c>
      <c r="M49" s="71">
        <v>0</v>
      </c>
      <c r="N49" s="71">
        <v>0</v>
      </c>
      <c r="O49" s="71">
        <v>0</v>
      </c>
      <c r="P49" s="71">
        <v>0</v>
      </c>
      <c r="Q49" s="71">
        <v>0</v>
      </c>
      <c r="R49" s="71">
        <v>0</v>
      </c>
      <c r="S49" s="71">
        <v>0</v>
      </c>
      <c r="T49" s="68">
        <f t="shared" si="1"/>
        <v>21</v>
      </c>
      <c r="U49" s="71">
        <v>21</v>
      </c>
      <c r="V49" s="33">
        <f t="shared" si="2"/>
        <v>1</v>
      </c>
      <c r="W49" s="69">
        <f t="shared" si="3"/>
        <v>55104</v>
      </c>
      <c r="X49" s="69">
        <f t="shared" si="4"/>
        <v>55104</v>
      </c>
      <c r="Y49" s="70" t="s">
        <v>188</v>
      </c>
      <c r="Z49" s="72">
        <v>2624</v>
      </c>
      <c r="AA49" s="70" t="s">
        <v>135</v>
      </c>
      <c r="AB49" s="68">
        <f t="shared" si="5"/>
        <v>0</v>
      </c>
      <c r="AC49" s="73">
        <v>42809</v>
      </c>
      <c r="AD49" s="73">
        <v>42840</v>
      </c>
      <c r="AE49" s="70" t="s">
        <v>57</v>
      </c>
      <c r="AF49" s="71">
        <v>0</v>
      </c>
      <c r="AG49" s="71">
        <v>0</v>
      </c>
      <c r="AH49" s="32">
        <f t="shared" si="6"/>
        <v>21</v>
      </c>
      <c r="AI49" s="71">
        <v>21</v>
      </c>
      <c r="AJ49" s="33">
        <f t="shared" si="7"/>
        <v>1</v>
      </c>
      <c r="AK49" s="69">
        <f t="shared" si="8"/>
        <v>55104</v>
      </c>
      <c r="AL49" s="69">
        <f t="shared" si="9"/>
        <v>55104</v>
      </c>
      <c r="AM49" s="70" t="s">
        <v>116</v>
      </c>
      <c r="AN49" s="70" t="s">
        <v>82</v>
      </c>
      <c r="AO49" s="70" t="s">
        <v>85</v>
      </c>
    </row>
    <row r="50" spans="1:41" x14ac:dyDescent="0.25">
      <c r="A50" s="70">
        <v>52696</v>
      </c>
      <c r="B50" s="70">
        <v>2017</v>
      </c>
      <c r="C50" s="70" t="s">
        <v>120</v>
      </c>
      <c r="D50" s="70" t="s">
        <v>121</v>
      </c>
      <c r="E50" s="70" t="s">
        <v>121</v>
      </c>
      <c r="F50" s="70">
        <v>5627</v>
      </c>
      <c r="G50" s="70" t="s">
        <v>187</v>
      </c>
      <c r="H50" s="71">
        <v>0</v>
      </c>
      <c r="I50" s="71">
        <v>0</v>
      </c>
      <c r="J50" s="71">
        <v>0</v>
      </c>
      <c r="K50" s="71">
        <v>6</v>
      </c>
      <c r="L50" s="71">
        <v>0</v>
      </c>
      <c r="M50" s="71">
        <v>0</v>
      </c>
      <c r="N50" s="71">
        <v>0</v>
      </c>
      <c r="O50" s="71">
        <v>0</v>
      </c>
      <c r="P50" s="71">
        <v>0</v>
      </c>
      <c r="Q50" s="71">
        <v>0</v>
      </c>
      <c r="R50" s="71">
        <v>0</v>
      </c>
      <c r="S50" s="71">
        <v>0</v>
      </c>
      <c r="T50" s="68">
        <f t="shared" si="1"/>
        <v>6</v>
      </c>
      <c r="U50" s="71">
        <v>6</v>
      </c>
      <c r="V50" s="33">
        <f t="shared" si="2"/>
        <v>1</v>
      </c>
      <c r="W50" s="69">
        <f t="shared" si="3"/>
        <v>15744</v>
      </c>
      <c r="X50" s="69">
        <f t="shared" si="4"/>
        <v>15744</v>
      </c>
      <c r="Y50" s="70" t="s">
        <v>188</v>
      </c>
      <c r="Z50" s="72">
        <v>2624</v>
      </c>
      <c r="AA50" s="70" t="s">
        <v>206</v>
      </c>
      <c r="AB50" s="68">
        <f t="shared" si="5"/>
        <v>0</v>
      </c>
      <c r="AC50" s="73">
        <v>42835</v>
      </c>
      <c r="AD50" s="73">
        <v>42865</v>
      </c>
      <c r="AE50" s="70" t="s">
        <v>57</v>
      </c>
      <c r="AF50" s="71">
        <v>0</v>
      </c>
      <c r="AG50" s="71">
        <v>0</v>
      </c>
      <c r="AH50" s="32">
        <f t="shared" si="6"/>
        <v>6</v>
      </c>
      <c r="AI50" s="71">
        <v>6</v>
      </c>
      <c r="AJ50" s="33">
        <f t="shared" si="7"/>
        <v>1</v>
      </c>
      <c r="AK50" s="69">
        <f t="shared" si="8"/>
        <v>15744</v>
      </c>
      <c r="AL50" s="69">
        <f t="shared" si="9"/>
        <v>15744</v>
      </c>
      <c r="AM50" s="70" t="s">
        <v>116</v>
      </c>
      <c r="AN50" s="70" t="s">
        <v>82</v>
      </c>
      <c r="AO50" s="70" t="s">
        <v>85</v>
      </c>
    </row>
    <row r="51" spans="1:41" x14ac:dyDescent="0.25">
      <c r="A51" s="70">
        <v>52771</v>
      </c>
      <c r="B51" s="70">
        <v>2017</v>
      </c>
      <c r="C51" s="70" t="s">
        <v>120</v>
      </c>
      <c r="D51" s="70" t="s">
        <v>121</v>
      </c>
      <c r="E51" s="70" t="s">
        <v>121</v>
      </c>
      <c r="F51" s="70">
        <v>5627</v>
      </c>
      <c r="G51" s="70" t="s">
        <v>187</v>
      </c>
      <c r="H51" s="71">
        <v>0</v>
      </c>
      <c r="I51" s="71">
        <v>0</v>
      </c>
      <c r="J51" s="71">
        <v>0</v>
      </c>
      <c r="K51" s="71">
        <v>3</v>
      </c>
      <c r="L51" s="71">
        <v>0</v>
      </c>
      <c r="M51" s="71">
        <v>0</v>
      </c>
      <c r="N51" s="71">
        <v>0</v>
      </c>
      <c r="O51" s="71">
        <v>0</v>
      </c>
      <c r="P51" s="71">
        <v>0</v>
      </c>
      <c r="Q51" s="71">
        <v>0</v>
      </c>
      <c r="R51" s="71">
        <v>0</v>
      </c>
      <c r="S51" s="71">
        <v>0</v>
      </c>
      <c r="T51" s="68">
        <f t="shared" si="1"/>
        <v>3</v>
      </c>
      <c r="U51" s="71">
        <v>3</v>
      </c>
      <c r="V51" s="33">
        <f t="shared" si="2"/>
        <v>1</v>
      </c>
      <c r="W51" s="69">
        <f t="shared" si="3"/>
        <v>7872</v>
      </c>
      <c r="X51" s="69">
        <f t="shared" si="4"/>
        <v>7872</v>
      </c>
      <c r="Y51" s="70" t="s">
        <v>188</v>
      </c>
      <c r="Z51" s="72">
        <v>2624</v>
      </c>
      <c r="AA51" s="70" t="s">
        <v>207</v>
      </c>
      <c r="AB51" s="68">
        <f t="shared" si="5"/>
        <v>0</v>
      </c>
      <c r="AC51" s="73">
        <v>42843</v>
      </c>
      <c r="AD51" s="73">
        <v>42873</v>
      </c>
      <c r="AE51" s="70" t="s">
        <v>57</v>
      </c>
      <c r="AF51" s="71">
        <v>0</v>
      </c>
      <c r="AG51" s="71">
        <v>0</v>
      </c>
      <c r="AH51" s="32">
        <f t="shared" si="6"/>
        <v>3</v>
      </c>
      <c r="AI51" s="71">
        <v>3</v>
      </c>
      <c r="AJ51" s="33">
        <f t="shared" si="7"/>
        <v>1</v>
      </c>
      <c r="AK51" s="69">
        <f t="shared" si="8"/>
        <v>7872</v>
      </c>
      <c r="AL51" s="69">
        <f t="shared" si="9"/>
        <v>7872</v>
      </c>
      <c r="AM51" s="70" t="s">
        <v>116</v>
      </c>
      <c r="AN51" s="70" t="s">
        <v>82</v>
      </c>
      <c r="AO51" s="70" t="s">
        <v>85</v>
      </c>
    </row>
    <row r="52" spans="1:41" x14ac:dyDescent="0.25">
      <c r="A52" s="70">
        <v>52963</v>
      </c>
      <c r="B52" s="70">
        <v>2017</v>
      </c>
      <c r="C52" s="70" t="s">
        <v>120</v>
      </c>
      <c r="D52" s="70" t="s">
        <v>121</v>
      </c>
      <c r="E52" s="70" t="s">
        <v>121</v>
      </c>
      <c r="F52" s="70">
        <v>5627</v>
      </c>
      <c r="G52" s="70" t="s">
        <v>187</v>
      </c>
      <c r="H52" s="71">
        <v>0</v>
      </c>
      <c r="I52" s="71">
        <v>0</v>
      </c>
      <c r="J52" s="71">
        <v>0</v>
      </c>
      <c r="K52" s="71">
        <v>0</v>
      </c>
      <c r="L52" s="71">
        <v>12</v>
      </c>
      <c r="M52" s="71">
        <v>0</v>
      </c>
      <c r="N52" s="71">
        <v>0</v>
      </c>
      <c r="O52" s="71">
        <v>0</v>
      </c>
      <c r="P52" s="71">
        <v>0</v>
      </c>
      <c r="Q52" s="71">
        <v>0</v>
      </c>
      <c r="R52" s="71">
        <v>0</v>
      </c>
      <c r="S52" s="71">
        <v>0</v>
      </c>
      <c r="T52" s="68">
        <f t="shared" si="1"/>
        <v>12</v>
      </c>
      <c r="U52" s="71">
        <v>12</v>
      </c>
      <c r="V52" s="33">
        <f t="shared" si="2"/>
        <v>1</v>
      </c>
      <c r="W52" s="69">
        <f t="shared" si="3"/>
        <v>31488</v>
      </c>
      <c r="X52" s="69">
        <f t="shared" si="4"/>
        <v>31488</v>
      </c>
      <c r="Y52" s="70" t="s">
        <v>188</v>
      </c>
      <c r="Z52" s="72">
        <v>2624</v>
      </c>
      <c r="AA52" s="70" t="s">
        <v>208</v>
      </c>
      <c r="AB52" s="68">
        <f t="shared" si="5"/>
        <v>0</v>
      </c>
      <c r="AC52" s="73">
        <v>42864</v>
      </c>
      <c r="AD52" s="73">
        <v>42895</v>
      </c>
      <c r="AE52" s="70" t="s">
        <v>57</v>
      </c>
      <c r="AF52" s="71">
        <v>0</v>
      </c>
      <c r="AG52" s="71">
        <v>0</v>
      </c>
      <c r="AH52" s="32">
        <f t="shared" si="6"/>
        <v>12</v>
      </c>
      <c r="AI52" s="71">
        <v>12</v>
      </c>
      <c r="AJ52" s="33">
        <f t="shared" si="7"/>
        <v>1</v>
      </c>
      <c r="AK52" s="69">
        <f t="shared" si="8"/>
        <v>31488</v>
      </c>
      <c r="AL52" s="69">
        <f t="shared" si="9"/>
        <v>31488</v>
      </c>
      <c r="AM52" s="70" t="s">
        <v>116</v>
      </c>
      <c r="AN52" s="70" t="s">
        <v>82</v>
      </c>
      <c r="AO52" s="70" t="s">
        <v>85</v>
      </c>
    </row>
    <row r="53" spans="1:41" x14ac:dyDescent="0.25">
      <c r="A53" s="70">
        <v>52091</v>
      </c>
      <c r="B53" s="70">
        <v>2017</v>
      </c>
      <c r="C53" s="70" t="s">
        <v>120</v>
      </c>
      <c r="D53" s="70" t="s">
        <v>121</v>
      </c>
      <c r="E53" s="70" t="s">
        <v>121</v>
      </c>
      <c r="F53" s="70">
        <v>5835</v>
      </c>
      <c r="G53" s="70" t="s">
        <v>189</v>
      </c>
      <c r="H53" s="71">
        <v>0</v>
      </c>
      <c r="I53" s="71">
        <v>0</v>
      </c>
      <c r="J53" s="71">
        <v>4</v>
      </c>
      <c r="K53" s="71">
        <v>0</v>
      </c>
      <c r="L53" s="71">
        <v>0</v>
      </c>
      <c r="M53" s="71">
        <v>0</v>
      </c>
      <c r="N53" s="71">
        <v>0</v>
      </c>
      <c r="O53" s="71">
        <v>0</v>
      </c>
      <c r="P53" s="71">
        <v>0</v>
      </c>
      <c r="Q53" s="71">
        <v>0</v>
      </c>
      <c r="R53" s="71">
        <v>0</v>
      </c>
      <c r="S53" s="71">
        <v>0</v>
      </c>
      <c r="T53" s="68">
        <f t="shared" si="1"/>
        <v>4</v>
      </c>
      <c r="U53" s="71">
        <v>4</v>
      </c>
      <c r="V53" s="33">
        <f t="shared" si="2"/>
        <v>1</v>
      </c>
      <c r="W53" s="69">
        <f t="shared" si="3"/>
        <v>9326</v>
      </c>
      <c r="X53" s="69">
        <f t="shared" si="4"/>
        <v>9326</v>
      </c>
      <c r="Y53" s="70" t="s">
        <v>188</v>
      </c>
      <c r="Z53" s="72">
        <v>2331.5</v>
      </c>
      <c r="AA53" s="70" t="s">
        <v>209</v>
      </c>
      <c r="AB53" s="68">
        <f t="shared" si="5"/>
        <v>0</v>
      </c>
      <c r="AC53" s="73">
        <v>42794</v>
      </c>
      <c r="AD53" s="73">
        <v>42822</v>
      </c>
      <c r="AE53" s="70" t="s">
        <v>57</v>
      </c>
      <c r="AF53" s="71">
        <v>0</v>
      </c>
      <c r="AG53" s="71">
        <v>0</v>
      </c>
      <c r="AH53" s="32">
        <f t="shared" si="6"/>
        <v>4</v>
      </c>
      <c r="AI53" s="71">
        <v>4</v>
      </c>
      <c r="AJ53" s="33">
        <f t="shared" si="7"/>
        <v>1</v>
      </c>
      <c r="AK53" s="69">
        <f t="shared" si="8"/>
        <v>9326</v>
      </c>
      <c r="AL53" s="69">
        <f t="shared" si="9"/>
        <v>9326</v>
      </c>
      <c r="AM53" s="70" t="s">
        <v>116</v>
      </c>
      <c r="AN53" s="70" t="s">
        <v>82</v>
      </c>
      <c r="AO53" s="70" t="s">
        <v>85</v>
      </c>
    </row>
    <row r="54" spans="1:41" x14ac:dyDescent="0.25">
      <c r="A54" s="70">
        <v>52905</v>
      </c>
      <c r="B54" s="70">
        <v>2017</v>
      </c>
      <c r="C54" s="70" t="s">
        <v>120</v>
      </c>
      <c r="D54" s="70" t="s">
        <v>121</v>
      </c>
      <c r="E54" s="70" t="s">
        <v>121</v>
      </c>
      <c r="F54" s="70">
        <v>5835</v>
      </c>
      <c r="G54" s="70" t="s">
        <v>189</v>
      </c>
      <c r="H54" s="71">
        <v>0</v>
      </c>
      <c r="I54" s="71">
        <v>0</v>
      </c>
      <c r="J54" s="71">
        <v>0</v>
      </c>
      <c r="K54" s="71">
        <v>0</v>
      </c>
      <c r="L54" s="71">
        <v>2</v>
      </c>
      <c r="M54" s="71">
        <v>0</v>
      </c>
      <c r="N54" s="71">
        <v>0</v>
      </c>
      <c r="O54" s="71">
        <v>0</v>
      </c>
      <c r="P54" s="71">
        <v>0</v>
      </c>
      <c r="Q54" s="71">
        <v>0</v>
      </c>
      <c r="R54" s="71">
        <v>0</v>
      </c>
      <c r="S54" s="71">
        <v>0</v>
      </c>
      <c r="T54" s="68">
        <f t="shared" si="1"/>
        <v>2</v>
      </c>
      <c r="U54" s="71">
        <v>2</v>
      </c>
      <c r="V54" s="33">
        <f t="shared" si="2"/>
        <v>1</v>
      </c>
      <c r="W54" s="69">
        <f t="shared" si="3"/>
        <v>4663</v>
      </c>
      <c r="X54" s="69">
        <f t="shared" si="4"/>
        <v>4663</v>
      </c>
      <c r="Y54" s="70" t="s">
        <v>188</v>
      </c>
      <c r="Z54" s="72">
        <v>2331.5</v>
      </c>
      <c r="AA54" s="70" t="s">
        <v>210</v>
      </c>
      <c r="AB54" s="68">
        <f t="shared" si="5"/>
        <v>0</v>
      </c>
      <c r="AC54" s="73">
        <v>42857</v>
      </c>
      <c r="AD54" s="73">
        <v>42888</v>
      </c>
      <c r="AE54" s="70" t="s">
        <v>57</v>
      </c>
      <c r="AF54" s="71">
        <v>0</v>
      </c>
      <c r="AG54" s="71">
        <v>0</v>
      </c>
      <c r="AH54" s="32">
        <f t="shared" si="6"/>
        <v>2</v>
      </c>
      <c r="AI54" s="71">
        <v>2</v>
      </c>
      <c r="AJ54" s="33">
        <f t="shared" si="7"/>
        <v>1</v>
      </c>
      <c r="AK54" s="69">
        <f t="shared" si="8"/>
        <v>4663</v>
      </c>
      <c r="AL54" s="69">
        <f t="shared" si="9"/>
        <v>4663</v>
      </c>
      <c r="AM54" s="70" t="s">
        <v>116</v>
      </c>
      <c r="AN54" s="70" t="s">
        <v>82</v>
      </c>
      <c r="AO54" s="70" t="s">
        <v>85</v>
      </c>
    </row>
    <row r="55" spans="1:41" x14ac:dyDescent="0.25">
      <c r="A55" s="70" t="s">
        <v>211</v>
      </c>
      <c r="B55" s="70">
        <v>2017</v>
      </c>
      <c r="C55" s="70" t="s">
        <v>120</v>
      </c>
      <c r="D55" s="70" t="s">
        <v>159</v>
      </c>
      <c r="E55" s="70" t="s">
        <v>159</v>
      </c>
      <c r="F55" s="70">
        <v>5632</v>
      </c>
      <c r="G55" s="70" t="s">
        <v>212</v>
      </c>
      <c r="H55" s="71">
        <v>35</v>
      </c>
      <c r="I55" s="71">
        <v>35</v>
      </c>
      <c r="J55" s="71">
        <v>35</v>
      </c>
      <c r="K55" s="71">
        <v>49</v>
      </c>
      <c r="L55" s="71">
        <v>0</v>
      </c>
      <c r="M55" s="71">
        <v>32</v>
      </c>
      <c r="N55" s="71">
        <v>32</v>
      </c>
      <c r="O55" s="71">
        <v>32</v>
      </c>
      <c r="P55" s="71">
        <v>32</v>
      </c>
      <c r="Q55" s="71">
        <v>32</v>
      </c>
      <c r="R55" s="71">
        <v>32</v>
      </c>
      <c r="S55" s="71">
        <v>39</v>
      </c>
      <c r="T55" s="68">
        <f t="shared" si="1"/>
        <v>385</v>
      </c>
      <c r="U55" s="71">
        <v>385</v>
      </c>
      <c r="V55" s="33">
        <f t="shared" si="2"/>
        <v>1</v>
      </c>
      <c r="W55" s="69">
        <f t="shared" si="3"/>
        <v>1704780</v>
      </c>
      <c r="X55" s="69">
        <f t="shared" si="4"/>
        <v>1704780</v>
      </c>
      <c r="Y55" s="70" t="s">
        <v>188</v>
      </c>
      <c r="Z55" s="72">
        <v>4428</v>
      </c>
      <c r="AA55" s="70" t="s">
        <v>213</v>
      </c>
      <c r="AB55" s="68">
        <f t="shared" si="5"/>
        <v>0</v>
      </c>
      <c r="AC55" s="73">
        <v>42753</v>
      </c>
      <c r="AD55" s="73">
        <v>43100</v>
      </c>
      <c r="AE55" s="70" t="s">
        <v>57</v>
      </c>
      <c r="AF55" s="71">
        <v>0</v>
      </c>
      <c r="AG55" s="71">
        <v>0</v>
      </c>
      <c r="AH55" s="32">
        <f t="shared" si="6"/>
        <v>385</v>
      </c>
      <c r="AI55" s="71">
        <v>385</v>
      </c>
      <c r="AJ55" s="33">
        <f t="shared" si="7"/>
        <v>1</v>
      </c>
      <c r="AK55" s="69">
        <f t="shared" si="8"/>
        <v>1704780</v>
      </c>
      <c r="AL55" s="69">
        <f t="shared" si="9"/>
        <v>1704780</v>
      </c>
      <c r="AM55" s="70" t="s">
        <v>72</v>
      </c>
      <c r="AN55" s="70" t="s">
        <v>59</v>
      </c>
      <c r="AO55" s="70" t="s">
        <v>85</v>
      </c>
    </row>
    <row r="56" spans="1:41" x14ac:dyDescent="0.25">
      <c r="A56" s="70" t="s">
        <v>211</v>
      </c>
      <c r="B56" s="70">
        <v>2017</v>
      </c>
      <c r="C56" s="70" t="s">
        <v>120</v>
      </c>
      <c r="D56" s="70" t="s">
        <v>159</v>
      </c>
      <c r="E56" s="70" t="s">
        <v>159</v>
      </c>
      <c r="F56" s="70">
        <v>5835</v>
      </c>
      <c r="G56" s="70" t="s">
        <v>189</v>
      </c>
      <c r="H56" s="71">
        <v>65</v>
      </c>
      <c r="I56" s="71">
        <v>65</v>
      </c>
      <c r="J56" s="71">
        <v>65</v>
      </c>
      <c r="K56" s="71">
        <v>71</v>
      </c>
      <c r="L56" s="71">
        <v>0</v>
      </c>
      <c r="M56" s="71">
        <v>0</v>
      </c>
      <c r="N56" s="71">
        <v>0</v>
      </c>
      <c r="O56" s="71">
        <v>0</v>
      </c>
      <c r="P56" s="71">
        <v>0</v>
      </c>
      <c r="Q56" s="71">
        <v>0</v>
      </c>
      <c r="R56" s="71">
        <v>0</v>
      </c>
      <c r="S56" s="71">
        <v>0</v>
      </c>
      <c r="T56" s="68">
        <f t="shared" si="1"/>
        <v>266</v>
      </c>
      <c r="U56" s="71">
        <v>665</v>
      </c>
      <c r="V56" s="33">
        <f t="shared" si="2"/>
        <v>0.4</v>
      </c>
      <c r="W56" s="69">
        <f t="shared" si="3"/>
        <v>620179</v>
      </c>
      <c r="X56" s="69">
        <f t="shared" si="4"/>
        <v>1550447.5</v>
      </c>
      <c r="Y56" s="70" t="s">
        <v>188</v>
      </c>
      <c r="Z56" s="72">
        <v>2331.5</v>
      </c>
      <c r="AA56" s="70" t="s">
        <v>213</v>
      </c>
      <c r="AB56" s="68">
        <f t="shared" si="5"/>
        <v>399</v>
      </c>
      <c r="AC56" s="73">
        <v>42753</v>
      </c>
      <c r="AD56" s="73">
        <v>43100</v>
      </c>
      <c r="AE56" s="70" t="s">
        <v>57</v>
      </c>
      <c r="AF56" s="71">
        <v>0</v>
      </c>
      <c r="AG56" s="71">
        <v>0</v>
      </c>
      <c r="AH56" s="32">
        <f t="shared" si="6"/>
        <v>266</v>
      </c>
      <c r="AI56" s="71">
        <v>665</v>
      </c>
      <c r="AJ56" s="33">
        <f t="shared" si="7"/>
        <v>0.4</v>
      </c>
      <c r="AK56" s="69">
        <f t="shared" si="8"/>
        <v>620179</v>
      </c>
      <c r="AL56" s="69">
        <f t="shared" si="9"/>
        <v>1550447.5</v>
      </c>
      <c r="AM56" s="70" t="s">
        <v>72</v>
      </c>
      <c r="AN56" s="70" t="s">
        <v>59</v>
      </c>
      <c r="AO56" s="70" t="s">
        <v>85</v>
      </c>
    </row>
    <row r="57" spans="1:41" x14ac:dyDescent="0.25">
      <c r="A57" s="70" t="s">
        <v>211</v>
      </c>
      <c r="B57" s="70">
        <v>2017</v>
      </c>
      <c r="C57" s="70" t="s">
        <v>120</v>
      </c>
      <c r="D57" s="70" t="s">
        <v>159</v>
      </c>
      <c r="E57" s="70" t="s">
        <v>159</v>
      </c>
      <c r="F57" s="70">
        <v>6086</v>
      </c>
      <c r="G57" s="70" t="s">
        <v>214</v>
      </c>
      <c r="H57" s="71">
        <v>32</v>
      </c>
      <c r="I57" s="71">
        <v>32</v>
      </c>
      <c r="J57" s="71">
        <v>32</v>
      </c>
      <c r="K57" s="71">
        <v>32</v>
      </c>
      <c r="L57" s="71">
        <v>26</v>
      </c>
      <c r="M57" s="71">
        <v>32</v>
      </c>
      <c r="N57" s="71">
        <v>32</v>
      </c>
      <c r="O57" s="71">
        <v>32</v>
      </c>
      <c r="P57" s="71">
        <v>32</v>
      </c>
      <c r="Q57" s="71">
        <v>32</v>
      </c>
      <c r="R57" s="71">
        <v>32</v>
      </c>
      <c r="S57" s="71">
        <v>39</v>
      </c>
      <c r="T57" s="68">
        <f t="shared" si="1"/>
        <v>385</v>
      </c>
      <c r="U57" s="71">
        <v>346</v>
      </c>
      <c r="V57" s="33">
        <f t="shared" si="2"/>
        <v>1.1127167630057804</v>
      </c>
      <c r="W57" s="69">
        <f t="shared" si="3"/>
        <v>7058809.4500000002</v>
      </c>
      <c r="X57" s="69">
        <f t="shared" si="4"/>
        <v>6343761.2199999997</v>
      </c>
      <c r="Y57" s="70" t="s">
        <v>188</v>
      </c>
      <c r="Z57" s="72">
        <v>18334.57</v>
      </c>
      <c r="AA57" s="70" t="s">
        <v>213</v>
      </c>
      <c r="AB57" s="68">
        <f t="shared" si="5"/>
        <v>-39</v>
      </c>
      <c r="AC57" s="73">
        <v>42753</v>
      </c>
      <c r="AD57" s="73">
        <v>43100</v>
      </c>
      <c r="AE57" s="70" t="s">
        <v>57</v>
      </c>
      <c r="AF57" s="71">
        <v>0</v>
      </c>
      <c r="AG57" s="71">
        <v>0</v>
      </c>
      <c r="AH57" s="32">
        <f t="shared" si="6"/>
        <v>385</v>
      </c>
      <c r="AI57" s="71">
        <v>346</v>
      </c>
      <c r="AJ57" s="33">
        <f t="shared" si="7"/>
        <v>1.1127167630057804</v>
      </c>
      <c r="AK57" s="69">
        <f t="shared" si="8"/>
        <v>7058809.4500000002</v>
      </c>
      <c r="AL57" s="69">
        <f t="shared" si="9"/>
        <v>6343761.2199999997</v>
      </c>
      <c r="AM57" s="70" t="s">
        <v>72</v>
      </c>
      <c r="AN57" s="70" t="s">
        <v>59</v>
      </c>
      <c r="AO57" s="70" t="s">
        <v>85</v>
      </c>
    </row>
    <row r="58" spans="1:41" x14ac:dyDescent="0.25">
      <c r="A58" s="70">
        <v>54551</v>
      </c>
      <c r="B58" s="70">
        <v>2017</v>
      </c>
      <c r="C58" s="70" t="s">
        <v>65</v>
      </c>
      <c r="D58" s="70" t="s">
        <v>215</v>
      </c>
      <c r="E58" s="70" t="s">
        <v>215</v>
      </c>
      <c r="F58" s="70">
        <v>5613</v>
      </c>
      <c r="G58" s="70" t="s">
        <v>194</v>
      </c>
      <c r="H58" s="71">
        <v>0</v>
      </c>
      <c r="I58" s="71">
        <v>0</v>
      </c>
      <c r="J58" s="71">
        <v>0</v>
      </c>
      <c r="K58" s="71">
        <v>0</v>
      </c>
      <c r="L58" s="71">
        <v>0</v>
      </c>
      <c r="M58" s="71">
        <v>0</v>
      </c>
      <c r="N58" s="71">
        <v>0</v>
      </c>
      <c r="O58" s="71">
        <v>0</v>
      </c>
      <c r="P58" s="71">
        <v>0</v>
      </c>
      <c r="Q58" s="71">
        <v>1</v>
      </c>
      <c r="R58" s="71">
        <v>0</v>
      </c>
      <c r="S58" s="71">
        <v>0</v>
      </c>
      <c r="T58" s="68">
        <f t="shared" si="1"/>
        <v>1</v>
      </c>
      <c r="U58" s="71">
        <v>1</v>
      </c>
      <c r="V58" s="33">
        <f t="shared" si="2"/>
        <v>1</v>
      </c>
      <c r="W58" s="69">
        <f t="shared" si="3"/>
        <v>3655.6</v>
      </c>
      <c r="X58" s="69">
        <f t="shared" si="4"/>
        <v>3655.6</v>
      </c>
      <c r="Y58" s="70" t="s">
        <v>188</v>
      </c>
      <c r="Z58" s="72">
        <v>3655.6</v>
      </c>
      <c r="AA58" s="70" t="s">
        <v>216</v>
      </c>
      <c r="AB58" s="68">
        <f t="shared" si="5"/>
        <v>0</v>
      </c>
      <c r="AC58" s="73">
        <v>43019</v>
      </c>
      <c r="AD58" s="73">
        <v>43050</v>
      </c>
      <c r="AE58" s="70" t="s">
        <v>57</v>
      </c>
      <c r="AF58" s="71">
        <v>0</v>
      </c>
      <c r="AG58" s="71">
        <v>0</v>
      </c>
      <c r="AH58" s="32">
        <f t="shared" si="6"/>
        <v>1</v>
      </c>
      <c r="AI58" s="71">
        <v>1</v>
      </c>
      <c r="AJ58" s="33">
        <f t="shared" si="7"/>
        <v>1</v>
      </c>
      <c r="AK58" s="69">
        <f t="shared" si="8"/>
        <v>3655.6</v>
      </c>
      <c r="AL58" s="69">
        <f t="shared" si="9"/>
        <v>3655.6</v>
      </c>
      <c r="AM58" s="70" t="s">
        <v>119</v>
      </c>
      <c r="AN58" s="70" t="s">
        <v>82</v>
      </c>
      <c r="AO58" s="70" t="s">
        <v>85</v>
      </c>
    </row>
    <row r="59" spans="1:41" x14ac:dyDescent="0.25">
      <c r="A59" s="70">
        <v>53011</v>
      </c>
      <c r="B59" s="70">
        <v>2017</v>
      </c>
      <c r="C59" s="70" t="s">
        <v>65</v>
      </c>
      <c r="D59" s="70" t="s">
        <v>217</v>
      </c>
      <c r="E59" s="70" t="s">
        <v>217</v>
      </c>
      <c r="F59" s="70">
        <v>5613</v>
      </c>
      <c r="G59" s="70" t="s">
        <v>194</v>
      </c>
      <c r="H59" s="71">
        <v>0</v>
      </c>
      <c r="I59" s="71">
        <v>0</v>
      </c>
      <c r="J59" s="71">
        <v>0</v>
      </c>
      <c r="K59" s="71">
        <v>0</v>
      </c>
      <c r="L59" s="71">
        <v>0</v>
      </c>
      <c r="M59" s="71">
        <v>5</v>
      </c>
      <c r="N59" s="71">
        <v>10</v>
      </c>
      <c r="O59" s="71">
        <v>0</v>
      </c>
      <c r="P59" s="71">
        <v>0</v>
      </c>
      <c r="Q59" s="71">
        <v>0</v>
      </c>
      <c r="R59" s="71">
        <v>0</v>
      </c>
      <c r="S59" s="71">
        <v>0</v>
      </c>
      <c r="T59" s="68">
        <f t="shared" si="1"/>
        <v>15</v>
      </c>
      <c r="U59" s="71">
        <v>15</v>
      </c>
      <c r="V59" s="33">
        <f t="shared" si="2"/>
        <v>1</v>
      </c>
      <c r="W59" s="69">
        <f t="shared" si="3"/>
        <v>54834</v>
      </c>
      <c r="X59" s="69">
        <f t="shared" si="4"/>
        <v>54834</v>
      </c>
      <c r="Y59" s="70" t="s">
        <v>188</v>
      </c>
      <c r="Z59" s="72">
        <v>3655.6</v>
      </c>
      <c r="AA59" s="70" t="s">
        <v>218</v>
      </c>
      <c r="AB59" s="68">
        <f t="shared" si="5"/>
        <v>0</v>
      </c>
      <c r="AC59" s="73">
        <v>42867</v>
      </c>
      <c r="AD59" s="73">
        <v>43100</v>
      </c>
      <c r="AE59" s="70" t="s">
        <v>57</v>
      </c>
      <c r="AF59" s="71">
        <v>0</v>
      </c>
      <c r="AG59" s="71">
        <v>0</v>
      </c>
      <c r="AH59" s="32">
        <f t="shared" si="6"/>
        <v>15</v>
      </c>
      <c r="AI59" s="71">
        <v>15</v>
      </c>
      <c r="AJ59" s="33">
        <f t="shared" si="7"/>
        <v>1</v>
      </c>
      <c r="AK59" s="69">
        <f t="shared" si="8"/>
        <v>54834</v>
      </c>
      <c r="AL59" s="69">
        <f t="shared" si="9"/>
        <v>54834</v>
      </c>
      <c r="AM59" s="70" t="s">
        <v>113</v>
      </c>
      <c r="AN59" s="70" t="s">
        <v>82</v>
      </c>
      <c r="AO59" s="70" t="s">
        <v>85</v>
      </c>
    </row>
    <row r="60" spans="1:41" x14ac:dyDescent="0.25">
      <c r="A60" s="70">
        <v>53011</v>
      </c>
      <c r="B60" s="70">
        <v>2017</v>
      </c>
      <c r="C60" s="70" t="s">
        <v>65</v>
      </c>
      <c r="D60" s="70" t="s">
        <v>217</v>
      </c>
      <c r="E60" s="70" t="s">
        <v>217</v>
      </c>
      <c r="F60" s="70">
        <v>5627</v>
      </c>
      <c r="G60" s="70" t="s">
        <v>187</v>
      </c>
      <c r="H60" s="71">
        <v>0</v>
      </c>
      <c r="I60" s="71">
        <v>0</v>
      </c>
      <c r="J60" s="71">
        <v>0</v>
      </c>
      <c r="K60" s="71">
        <v>0</v>
      </c>
      <c r="L60" s="71">
        <v>0</v>
      </c>
      <c r="M60" s="71">
        <v>10</v>
      </c>
      <c r="N60" s="71">
        <v>0</v>
      </c>
      <c r="O60" s="71">
        <v>0</v>
      </c>
      <c r="P60" s="71">
        <v>0</v>
      </c>
      <c r="Q60" s="71">
        <v>0</v>
      </c>
      <c r="R60" s="71">
        <v>0</v>
      </c>
      <c r="S60" s="71">
        <v>0</v>
      </c>
      <c r="T60" s="68">
        <f t="shared" si="1"/>
        <v>10</v>
      </c>
      <c r="U60" s="71">
        <v>10</v>
      </c>
      <c r="V60" s="33">
        <f t="shared" si="2"/>
        <v>1</v>
      </c>
      <c r="W60" s="69">
        <f t="shared" si="3"/>
        <v>26240</v>
      </c>
      <c r="X60" s="69">
        <f t="shared" si="4"/>
        <v>26240</v>
      </c>
      <c r="Y60" s="70" t="s">
        <v>188</v>
      </c>
      <c r="Z60" s="72">
        <v>2624</v>
      </c>
      <c r="AA60" s="70" t="s">
        <v>218</v>
      </c>
      <c r="AB60" s="68">
        <f t="shared" si="5"/>
        <v>0</v>
      </c>
      <c r="AC60" s="73">
        <v>42867</v>
      </c>
      <c r="AD60" s="73">
        <v>43100</v>
      </c>
      <c r="AE60" s="70" t="s">
        <v>57</v>
      </c>
      <c r="AF60" s="71">
        <v>0</v>
      </c>
      <c r="AG60" s="71">
        <v>0</v>
      </c>
      <c r="AH60" s="32">
        <f t="shared" si="6"/>
        <v>10</v>
      </c>
      <c r="AI60" s="71">
        <v>10</v>
      </c>
      <c r="AJ60" s="33">
        <f t="shared" si="7"/>
        <v>1</v>
      </c>
      <c r="AK60" s="69">
        <f t="shared" si="8"/>
        <v>26240</v>
      </c>
      <c r="AL60" s="69">
        <f t="shared" si="9"/>
        <v>26240</v>
      </c>
      <c r="AM60" s="70" t="s">
        <v>113</v>
      </c>
      <c r="AN60" s="70" t="s">
        <v>82</v>
      </c>
      <c r="AO60" s="70" t="s">
        <v>85</v>
      </c>
    </row>
    <row r="61" spans="1:41" x14ac:dyDescent="0.25">
      <c r="A61" s="70">
        <v>53011</v>
      </c>
      <c r="B61" s="70">
        <v>2017</v>
      </c>
      <c r="C61" s="70" t="s">
        <v>65</v>
      </c>
      <c r="D61" s="70" t="s">
        <v>217</v>
      </c>
      <c r="E61" s="70" t="s">
        <v>217</v>
      </c>
      <c r="F61" s="70">
        <v>5628</v>
      </c>
      <c r="G61" s="70" t="s">
        <v>219</v>
      </c>
      <c r="H61" s="71">
        <v>0</v>
      </c>
      <c r="I61" s="71">
        <v>0</v>
      </c>
      <c r="J61" s="71">
        <v>0</v>
      </c>
      <c r="K61" s="71">
        <v>0</v>
      </c>
      <c r="L61" s="71">
        <v>0</v>
      </c>
      <c r="M61" s="71">
        <v>5</v>
      </c>
      <c r="N61" s="71">
        <v>0</v>
      </c>
      <c r="O61" s="71">
        <v>0</v>
      </c>
      <c r="P61" s="71">
        <v>0</v>
      </c>
      <c r="Q61" s="71">
        <v>0</v>
      </c>
      <c r="R61" s="71">
        <v>0</v>
      </c>
      <c r="S61" s="71">
        <v>0</v>
      </c>
      <c r="T61" s="68">
        <f t="shared" si="1"/>
        <v>5</v>
      </c>
      <c r="U61" s="71">
        <v>5</v>
      </c>
      <c r="V61" s="33">
        <f t="shared" si="2"/>
        <v>1</v>
      </c>
      <c r="W61" s="69">
        <f t="shared" si="3"/>
        <v>21600</v>
      </c>
      <c r="X61" s="69">
        <f t="shared" si="4"/>
        <v>21600</v>
      </c>
      <c r="Y61" s="70" t="s">
        <v>188</v>
      </c>
      <c r="Z61" s="72">
        <v>4320</v>
      </c>
      <c r="AA61" s="70" t="s">
        <v>218</v>
      </c>
      <c r="AB61" s="68">
        <f t="shared" si="5"/>
        <v>0</v>
      </c>
      <c r="AC61" s="73">
        <v>42867</v>
      </c>
      <c r="AD61" s="73">
        <v>43100</v>
      </c>
      <c r="AE61" s="70" t="s">
        <v>57</v>
      </c>
      <c r="AF61" s="71">
        <v>0</v>
      </c>
      <c r="AG61" s="71">
        <v>0</v>
      </c>
      <c r="AH61" s="32">
        <f t="shared" si="6"/>
        <v>5</v>
      </c>
      <c r="AI61" s="71">
        <v>5</v>
      </c>
      <c r="AJ61" s="33">
        <f t="shared" si="7"/>
        <v>1</v>
      </c>
      <c r="AK61" s="69">
        <f t="shared" si="8"/>
        <v>21600</v>
      </c>
      <c r="AL61" s="69">
        <f t="shared" si="9"/>
        <v>21600</v>
      </c>
      <c r="AM61" s="70" t="s">
        <v>113</v>
      </c>
      <c r="AN61" s="70" t="s">
        <v>82</v>
      </c>
      <c r="AO61" s="70" t="s">
        <v>85</v>
      </c>
    </row>
    <row r="62" spans="1:41" x14ac:dyDescent="0.25">
      <c r="A62" s="70">
        <v>53011</v>
      </c>
      <c r="B62" s="70">
        <v>2017</v>
      </c>
      <c r="C62" s="70" t="s">
        <v>65</v>
      </c>
      <c r="D62" s="70" t="s">
        <v>217</v>
      </c>
      <c r="E62" s="70" t="s">
        <v>217</v>
      </c>
      <c r="F62" s="70">
        <v>6089</v>
      </c>
      <c r="G62" s="70" t="s">
        <v>220</v>
      </c>
      <c r="H62" s="71">
        <v>0</v>
      </c>
      <c r="I62" s="71">
        <v>0</v>
      </c>
      <c r="J62" s="71">
        <v>0</v>
      </c>
      <c r="K62" s="71">
        <v>0</v>
      </c>
      <c r="L62" s="71">
        <v>0</v>
      </c>
      <c r="M62" s="71">
        <v>2</v>
      </c>
      <c r="N62" s="71">
        <v>0</v>
      </c>
      <c r="O62" s="71">
        <v>0</v>
      </c>
      <c r="P62" s="71">
        <v>0</v>
      </c>
      <c r="Q62" s="71">
        <v>0</v>
      </c>
      <c r="R62" s="71">
        <v>0</v>
      </c>
      <c r="S62" s="71">
        <v>0</v>
      </c>
      <c r="T62" s="68">
        <f t="shared" si="1"/>
        <v>2</v>
      </c>
      <c r="U62" s="71">
        <v>2</v>
      </c>
      <c r="V62" s="33">
        <f t="shared" si="2"/>
        <v>1</v>
      </c>
      <c r="W62" s="69">
        <f t="shared" si="3"/>
        <v>9468</v>
      </c>
      <c r="X62" s="69">
        <f t="shared" si="4"/>
        <v>9468</v>
      </c>
      <c r="Y62" s="70" t="s">
        <v>188</v>
      </c>
      <c r="Z62" s="72">
        <v>4734</v>
      </c>
      <c r="AA62" s="70" t="s">
        <v>218</v>
      </c>
      <c r="AB62" s="68">
        <f t="shared" si="5"/>
        <v>0</v>
      </c>
      <c r="AC62" s="73">
        <v>42867</v>
      </c>
      <c r="AD62" s="73">
        <v>43100</v>
      </c>
      <c r="AE62" s="70" t="s">
        <v>57</v>
      </c>
      <c r="AF62" s="71">
        <v>0</v>
      </c>
      <c r="AG62" s="71">
        <v>0</v>
      </c>
      <c r="AH62" s="32">
        <f t="shared" si="6"/>
        <v>2</v>
      </c>
      <c r="AI62" s="71">
        <v>2</v>
      </c>
      <c r="AJ62" s="33">
        <f t="shared" si="7"/>
        <v>1</v>
      </c>
      <c r="AK62" s="69">
        <f t="shared" si="8"/>
        <v>9468</v>
      </c>
      <c r="AL62" s="69">
        <f t="shared" si="9"/>
        <v>9468</v>
      </c>
      <c r="AM62" s="70" t="s">
        <v>113</v>
      </c>
      <c r="AN62" s="70" t="s">
        <v>82</v>
      </c>
      <c r="AO62" s="70" t="s">
        <v>85</v>
      </c>
    </row>
    <row r="63" spans="1:41" x14ac:dyDescent="0.25">
      <c r="A63" s="70">
        <v>51987</v>
      </c>
      <c r="B63" s="70">
        <v>2017</v>
      </c>
      <c r="C63" s="70" t="s">
        <v>65</v>
      </c>
      <c r="D63" s="70" t="s">
        <v>160</v>
      </c>
      <c r="E63" s="70" t="s">
        <v>160</v>
      </c>
      <c r="F63" s="70">
        <v>5452</v>
      </c>
      <c r="G63" s="70" t="s">
        <v>221</v>
      </c>
      <c r="H63" s="71">
        <v>0</v>
      </c>
      <c r="I63" s="71">
        <v>0</v>
      </c>
      <c r="J63" s="71">
        <v>5</v>
      </c>
      <c r="K63" s="71">
        <v>0</v>
      </c>
      <c r="L63" s="71">
        <v>0</v>
      </c>
      <c r="M63" s="71">
        <v>0</v>
      </c>
      <c r="N63" s="71">
        <v>0</v>
      </c>
      <c r="O63" s="71">
        <v>0</v>
      </c>
      <c r="P63" s="71">
        <v>0</v>
      </c>
      <c r="Q63" s="71">
        <v>0</v>
      </c>
      <c r="R63" s="71">
        <v>0</v>
      </c>
      <c r="S63" s="71">
        <v>0</v>
      </c>
      <c r="T63" s="68">
        <f t="shared" si="1"/>
        <v>5</v>
      </c>
      <c r="U63" s="71">
        <v>5</v>
      </c>
      <c r="V63" s="33">
        <f t="shared" si="2"/>
        <v>1</v>
      </c>
      <c r="W63" s="69">
        <f t="shared" si="3"/>
        <v>67967.899999999994</v>
      </c>
      <c r="X63" s="69">
        <f t="shared" si="4"/>
        <v>67967.899999999994</v>
      </c>
      <c r="Y63" s="70" t="s">
        <v>188</v>
      </c>
      <c r="Z63" s="72">
        <v>13593.58</v>
      </c>
      <c r="AA63" s="70" t="s">
        <v>222</v>
      </c>
      <c r="AB63" s="68">
        <f t="shared" si="5"/>
        <v>0</v>
      </c>
      <c r="AC63" s="73">
        <v>42790</v>
      </c>
      <c r="AD63" s="73">
        <v>42818</v>
      </c>
      <c r="AE63" s="70" t="s">
        <v>57</v>
      </c>
      <c r="AF63" s="71">
        <v>0</v>
      </c>
      <c r="AG63" s="71">
        <v>0</v>
      </c>
      <c r="AH63" s="32">
        <f t="shared" si="6"/>
        <v>5</v>
      </c>
      <c r="AI63" s="71">
        <v>5</v>
      </c>
      <c r="AJ63" s="33">
        <f t="shared" si="7"/>
        <v>1</v>
      </c>
      <c r="AK63" s="69">
        <f t="shared" si="8"/>
        <v>67967.899999999994</v>
      </c>
      <c r="AL63" s="69">
        <f t="shared" si="9"/>
        <v>67967.899999999994</v>
      </c>
      <c r="AM63" s="70" t="s">
        <v>116</v>
      </c>
      <c r="AN63" s="70" t="s">
        <v>82</v>
      </c>
      <c r="AO63" s="70" t="s">
        <v>85</v>
      </c>
    </row>
    <row r="64" spans="1:41" x14ac:dyDescent="0.25">
      <c r="A64" s="70">
        <v>53314</v>
      </c>
      <c r="B64" s="70">
        <v>2017</v>
      </c>
      <c r="C64" s="70" t="s">
        <v>65</v>
      </c>
      <c r="D64" s="70" t="s">
        <v>160</v>
      </c>
      <c r="E64" s="70" t="s">
        <v>160</v>
      </c>
      <c r="F64" s="70">
        <v>5452</v>
      </c>
      <c r="G64" s="70" t="s">
        <v>221</v>
      </c>
      <c r="H64" s="71">
        <v>0</v>
      </c>
      <c r="I64" s="71">
        <v>0</v>
      </c>
      <c r="J64" s="71">
        <v>0</v>
      </c>
      <c r="K64" s="71">
        <v>0</v>
      </c>
      <c r="L64" s="71">
        <v>0</v>
      </c>
      <c r="M64" s="71">
        <v>5</v>
      </c>
      <c r="N64" s="71">
        <v>0</v>
      </c>
      <c r="O64" s="71">
        <v>0</v>
      </c>
      <c r="P64" s="71">
        <v>0</v>
      </c>
      <c r="Q64" s="71">
        <v>0</v>
      </c>
      <c r="R64" s="71">
        <v>0</v>
      </c>
      <c r="S64" s="71">
        <v>0</v>
      </c>
      <c r="T64" s="68">
        <f t="shared" si="1"/>
        <v>5</v>
      </c>
      <c r="U64" s="71">
        <v>5</v>
      </c>
      <c r="V64" s="33">
        <f t="shared" si="2"/>
        <v>1</v>
      </c>
      <c r="W64" s="69">
        <f t="shared" si="3"/>
        <v>67965</v>
      </c>
      <c r="X64" s="69">
        <f t="shared" si="4"/>
        <v>67965</v>
      </c>
      <c r="Y64" s="70" t="s">
        <v>188</v>
      </c>
      <c r="Z64" s="72">
        <v>13593</v>
      </c>
      <c r="AA64" s="70" t="s">
        <v>223</v>
      </c>
      <c r="AB64" s="68">
        <f t="shared" si="5"/>
        <v>0</v>
      </c>
      <c r="AC64" s="73">
        <v>42899</v>
      </c>
      <c r="AD64" s="73">
        <v>42929</v>
      </c>
      <c r="AE64" s="70" t="s">
        <v>57</v>
      </c>
      <c r="AF64" s="71">
        <v>0</v>
      </c>
      <c r="AG64" s="71">
        <v>0</v>
      </c>
      <c r="AH64" s="32">
        <f t="shared" si="6"/>
        <v>5</v>
      </c>
      <c r="AI64" s="71">
        <v>5</v>
      </c>
      <c r="AJ64" s="33">
        <f t="shared" si="7"/>
        <v>1</v>
      </c>
      <c r="AK64" s="69">
        <f t="shared" si="8"/>
        <v>67965</v>
      </c>
      <c r="AL64" s="69">
        <f t="shared" si="9"/>
        <v>67965</v>
      </c>
      <c r="AM64" s="70" t="s">
        <v>116</v>
      </c>
      <c r="AN64" s="70" t="s">
        <v>82</v>
      </c>
      <c r="AO64" s="70" t="s">
        <v>85</v>
      </c>
    </row>
    <row r="65" spans="1:41" x14ac:dyDescent="0.25">
      <c r="A65" s="70" t="s">
        <v>224</v>
      </c>
      <c r="B65" s="70">
        <v>2017</v>
      </c>
      <c r="C65" s="70" t="s">
        <v>65</v>
      </c>
      <c r="D65" s="70" t="s">
        <v>160</v>
      </c>
      <c r="E65" s="70" t="s">
        <v>160</v>
      </c>
      <c r="F65" s="70">
        <v>5452</v>
      </c>
      <c r="G65" s="70" t="s">
        <v>221</v>
      </c>
      <c r="H65" s="71">
        <v>0</v>
      </c>
      <c r="I65" s="71">
        <v>0</v>
      </c>
      <c r="J65" s="71">
        <v>0</v>
      </c>
      <c r="K65" s="71">
        <v>0</v>
      </c>
      <c r="L65" s="71">
        <v>0</v>
      </c>
      <c r="M65" s="71">
        <v>0</v>
      </c>
      <c r="N65" s="71">
        <v>0</v>
      </c>
      <c r="O65" s="71">
        <v>0</v>
      </c>
      <c r="P65" s="71">
        <v>0</v>
      </c>
      <c r="Q65" s="71">
        <v>5</v>
      </c>
      <c r="R65" s="71">
        <v>0</v>
      </c>
      <c r="S65" s="71">
        <v>0</v>
      </c>
      <c r="T65" s="68">
        <f t="shared" si="1"/>
        <v>5</v>
      </c>
      <c r="U65" s="71">
        <v>5</v>
      </c>
      <c r="V65" s="33">
        <f t="shared" si="2"/>
        <v>1</v>
      </c>
      <c r="W65" s="69">
        <f t="shared" si="3"/>
        <v>67965</v>
      </c>
      <c r="X65" s="69">
        <f t="shared" si="4"/>
        <v>67965</v>
      </c>
      <c r="Y65" s="70" t="s">
        <v>188</v>
      </c>
      <c r="Z65" s="72">
        <v>13593</v>
      </c>
      <c r="AA65" s="70" t="s">
        <v>225</v>
      </c>
      <c r="AB65" s="68">
        <f t="shared" si="5"/>
        <v>0</v>
      </c>
      <c r="AC65" s="73">
        <v>43004</v>
      </c>
      <c r="AD65" s="73">
        <v>43034</v>
      </c>
      <c r="AE65" s="70" t="s">
        <v>57</v>
      </c>
      <c r="AF65" s="71">
        <v>0</v>
      </c>
      <c r="AG65" s="71">
        <v>0</v>
      </c>
      <c r="AH65" s="32">
        <f t="shared" si="6"/>
        <v>5</v>
      </c>
      <c r="AI65" s="71">
        <v>5</v>
      </c>
      <c r="AJ65" s="33">
        <f t="shared" si="7"/>
        <v>1</v>
      </c>
      <c r="AK65" s="69">
        <f t="shared" si="8"/>
        <v>67965</v>
      </c>
      <c r="AL65" s="69">
        <f t="shared" si="9"/>
        <v>67965</v>
      </c>
      <c r="AM65" s="70" t="s">
        <v>116</v>
      </c>
      <c r="AN65" s="70" t="s">
        <v>82</v>
      </c>
      <c r="AO65" s="70" t="s">
        <v>85</v>
      </c>
    </row>
    <row r="66" spans="1:41" x14ac:dyDescent="0.25">
      <c r="A66" s="70" t="s">
        <v>226</v>
      </c>
      <c r="B66" s="70">
        <v>2017</v>
      </c>
      <c r="C66" s="70" t="s">
        <v>65</v>
      </c>
      <c r="D66" s="70" t="s">
        <v>160</v>
      </c>
      <c r="E66" s="70" t="s">
        <v>160</v>
      </c>
      <c r="F66" s="70">
        <v>5452</v>
      </c>
      <c r="G66" s="70" t="s">
        <v>221</v>
      </c>
      <c r="H66" s="71">
        <v>0</v>
      </c>
      <c r="I66" s="71">
        <v>0</v>
      </c>
      <c r="J66" s="71">
        <v>0</v>
      </c>
      <c r="K66" s="71">
        <v>0</v>
      </c>
      <c r="L66" s="71">
        <v>0</v>
      </c>
      <c r="M66" s="71">
        <v>0</v>
      </c>
      <c r="N66" s="71">
        <v>0</v>
      </c>
      <c r="O66" s="71">
        <v>0</v>
      </c>
      <c r="P66" s="71">
        <v>8</v>
      </c>
      <c r="Q66" s="71">
        <v>0</v>
      </c>
      <c r="R66" s="71">
        <v>0</v>
      </c>
      <c r="S66" s="71">
        <v>0</v>
      </c>
      <c r="T66" s="68">
        <f t="shared" si="1"/>
        <v>8</v>
      </c>
      <c r="U66" s="71">
        <v>8</v>
      </c>
      <c r="V66" s="33">
        <f t="shared" si="2"/>
        <v>1</v>
      </c>
      <c r="W66" s="69">
        <f t="shared" si="3"/>
        <v>108748.64</v>
      </c>
      <c r="X66" s="69">
        <f t="shared" si="4"/>
        <v>108748.64</v>
      </c>
      <c r="Y66" s="70" t="s">
        <v>188</v>
      </c>
      <c r="Z66" s="72">
        <v>13593.58</v>
      </c>
      <c r="AA66" s="70" t="s">
        <v>227</v>
      </c>
      <c r="AB66" s="68">
        <f t="shared" si="5"/>
        <v>0</v>
      </c>
      <c r="AC66" s="73">
        <v>42991</v>
      </c>
      <c r="AD66" s="73">
        <v>43021</v>
      </c>
      <c r="AE66" s="70" t="s">
        <v>57</v>
      </c>
      <c r="AF66" s="71">
        <v>0</v>
      </c>
      <c r="AG66" s="71">
        <v>0</v>
      </c>
      <c r="AH66" s="32">
        <f t="shared" si="6"/>
        <v>8</v>
      </c>
      <c r="AI66" s="71">
        <v>8</v>
      </c>
      <c r="AJ66" s="33">
        <f t="shared" si="7"/>
        <v>1</v>
      </c>
      <c r="AK66" s="69">
        <f t="shared" si="8"/>
        <v>108748.64</v>
      </c>
      <c r="AL66" s="69">
        <f t="shared" si="9"/>
        <v>108748.64</v>
      </c>
      <c r="AM66" s="70" t="s">
        <v>116</v>
      </c>
      <c r="AN66" s="70" t="s">
        <v>82</v>
      </c>
      <c r="AO66" s="70" t="s">
        <v>85</v>
      </c>
    </row>
    <row r="67" spans="1:41" x14ac:dyDescent="0.25">
      <c r="A67" s="70">
        <v>53286</v>
      </c>
      <c r="B67" s="70">
        <v>2017</v>
      </c>
      <c r="C67" s="70" t="s">
        <v>65</v>
      </c>
      <c r="D67" s="70" t="s">
        <v>228</v>
      </c>
      <c r="E67" s="70" t="s">
        <v>228</v>
      </c>
      <c r="F67" s="70">
        <v>6086</v>
      </c>
      <c r="G67" s="70" t="s">
        <v>214</v>
      </c>
      <c r="H67" s="71">
        <v>0</v>
      </c>
      <c r="I67" s="71">
        <v>0</v>
      </c>
      <c r="J67" s="71">
        <v>0</v>
      </c>
      <c r="K67" s="71">
        <v>0</v>
      </c>
      <c r="L67" s="71">
        <v>0</v>
      </c>
      <c r="M67" s="71">
        <v>6</v>
      </c>
      <c r="N67" s="71">
        <v>0</v>
      </c>
      <c r="O67" s="71">
        <v>0</v>
      </c>
      <c r="P67" s="71">
        <v>0</v>
      </c>
      <c r="Q67" s="71">
        <v>0</v>
      </c>
      <c r="R67" s="71">
        <v>0</v>
      </c>
      <c r="S67" s="71">
        <v>0</v>
      </c>
      <c r="T67" s="68">
        <f t="shared" ref="T67:T130" si="10">SUM(H67:S67)</f>
        <v>6</v>
      </c>
      <c r="U67" s="71">
        <v>6</v>
      </c>
      <c r="V67" s="33">
        <f t="shared" ref="V67:V130" si="11">IF(ISERROR(T67/U67),0,(T67/U67))</f>
        <v>1</v>
      </c>
      <c r="W67" s="69">
        <f t="shared" ref="W67:W130" si="12">T67*Z67</f>
        <v>110007.42</v>
      </c>
      <c r="X67" s="69">
        <f t="shared" ref="X67:X130" si="13">U67*Z67</f>
        <v>110007.42</v>
      </c>
      <c r="Y67" s="70" t="s">
        <v>188</v>
      </c>
      <c r="Z67" s="72">
        <v>18334.57</v>
      </c>
      <c r="AA67" s="70" t="s">
        <v>229</v>
      </c>
      <c r="AB67" s="68">
        <f t="shared" ref="AB67:AB130" si="14">U67-T67</f>
        <v>0</v>
      </c>
      <c r="AC67" s="73">
        <v>42895</v>
      </c>
      <c r="AD67" s="73">
        <v>42922</v>
      </c>
      <c r="AE67" s="70" t="s">
        <v>57</v>
      </c>
      <c r="AF67" s="71">
        <v>0</v>
      </c>
      <c r="AG67" s="71">
        <v>0</v>
      </c>
      <c r="AH67" s="32">
        <f t="shared" ref="AH67:AH130" si="15">T67+AF67+AG67</f>
        <v>6</v>
      </c>
      <c r="AI67" s="71">
        <v>6</v>
      </c>
      <c r="AJ67" s="33">
        <f t="shared" ref="AJ67:AJ130" si="16">IF(ISERROR(AH67/AI67),0,(AH67/AI67))</f>
        <v>1</v>
      </c>
      <c r="AK67" s="69">
        <f t="shared" ref="AK67:AK130" si="17">AH67*Z67</f>
        <v>110007.42</v>
      </c>
      <c r="AL67" s="69">
        <f t="shared" ref="AL67:AL130" si="18">AI67*Z67</f>
        <v>110007.42</v>
      </c>
      <c r="AM67" s="70" t="s">
        <v>72</v>
      </c>
      <c r="AN67" s="70" t="s">
        <v>82</v>
      </c>
      <c r="AO67" s="70" t="s">
        <v>85</v>
      </c>
    </row>
    <row r="68" spans="1:41" x14ac:dyDescent="0.25">
      <c r="A68" s="70">
        <v>53563</v>
      </c>
      <c r="B68" s="70">
        <v>2017</v>
      </c>
      <c r="C68" s="70" t="s">
        <v>65</v>
      </c>
      <c r="D68" s="70" t="s">
        <v>228</v>
      </c>
      <c r="E68" s="70" t="s">
        <v>228</v>
      </c>
      <c r="F68" s="70">
        <v>6086</v>
      </c>
      <c r="G68" s="70" t="s">
        <v>214</v>
      </c>
      <c r="H68" s="71">
        <v>0</v>
      </c>
      <c r="I68" s="71">
        <v>0</v>
      </c>
      <c r="J68" s="71">
        <v>0</v>
      </c>
      <c r="K68" s="71">
        <v>0</v>
      </c>
      <c r="L68" s="71">
        <v>0</v>
      </c>
      <c r="M68" s="71">
        <v>0</v>
      </c>
      <c r="N68" s="71">
        <v>6</v>
      </c>
      <c r="O68" s="71">
        <v>0</v>
      </c>
      <c r="P68" s="71">
        <v>0</v>
      </c>
      <c r="Q68" s="71">
        <v>0</v>
      </c>
      <c r="R68" s="71">
        <v>0</v>
      </c>
      <c r="S68" s="71">
        <v>0</v>
      </c>
      <c r="T68" s="68">
        <f t="shared" si="10"/>
        <v>6</v>
      </c>
      <c r="U68" s="71">
        <v>6</v>
      </c>
      <c r="V68" s="33">
        <f t="shared" si="11"/>
        <v>1</v>
      </c>
      <c r="W68" s="69">
        <f t="shared" si="12"/>
        <v>110007.42</v>
      </c>
      <c r="X68" s="69">
        <f t="shared" si="13"/>
        <v>110007.42</v>
      </c>
      <c r="Y68" s="70" t="s">
        <v>188</v>
      </c>
      <c r="Z68" s="72">
        <v>18334.57</v>
      </c>
      <c r="AA68" s="70" t="s">
        <v>230</v>
      </c>
      <c r="AB68" s="68">
        <f t="shared" si="14"/>
        <v>0</v>
      </c>
      <c r="AC68" s="73">
        <v>42929</v>
      </c>
      <c r="AD68" s="73">
        <v>42960</v>
      </c>
      <c r="AE68" s="70" t="s">
        <v>57</v>
      </c>
      <c r="AF68" s="71">
        <v>0</v>
      </c>
      <c r="AG68" s="71">
        <v>0</v>
      </c>
      <c r="AH68" s="32">
        <f t="shared" si="15"/>
        <v>6</v>
      </c>
      <c r="AI68" s="71">
        <v>6</v>
      </c>
      <c r="AJ68" s="33">
        <f t="shared" si="16"/>
        <v>1</v>
      </c>
      <c r="AK68" s="69">
        <f t="shared" si="17"/>
        <v>110007.42</v>
      </c>
      <c r="AL68" s="69">
        <f t="shared" si="18"/>
        <v>110007.42</v>
      </c>
      <c r="AM68" s="70" t="s">
        <v>72</v>
      </c>
      <c r="AN68" s="70" t="s">
        <v>82</v>
      </c>
      <c r="AO68" s="70" t="s">
        <v>85</v>
      </c>
    </row>
    <row r="69" spans="1:41" x14ac:dyDescent="0.25">
      <c r="A69" s="70">
        <v>54040</v>
      </c>
      <c r="B69" s="70">
        <v>2017</v>
      </c>
      <c r="C69" s="70" t="s">
        <v>65</v>
      </c>
      <c r="D69" s="70" t="s">
        <v>228</v>
      </c>
      <c r="E69" s="70" t="s">
        <v>228</v>
      </c>
      <c r="F69" s="70">
        <v>6086</v>
      </c>
      <c r="G69" s="70" t="s">
        <v>214</v>
      </c>
      <c r="H69" s="71">
        <v>0</v>
      </c>
      <c r="I69" s="71">
        <v>0</v>
      </c>
      <c r="J69" s="71">
        <v>0</v>
      </c>
      <c r="K69" s="71">
        <v>0</v>
      </c>
      <c r="L69" s="71">
        <v>0</v>
      </c>
      <c r="M69" s="71">
        <v>0</v>
      </c>
      <c r="N69" s="71">
        <v>0</v>
      </c>
      <c r="O69" s="71">
        <v>0</v>
      </c>
      <c r="P69" s="71">
        <v>6</v>
      </c>
      <c r="Q69" s="71">
        <v>0</v>
      </c>
      <c r="R69" s="71">
        <v>0</v>
      </c>
      <c r="S69" s="71">
        <v>0</v>
      </c>
      <c r="T69" s="68">
        <f t="shared" si="10"/>
        <v>6</v>
      </c>
      <c r="U69" s="71">
        <v>6</v>
      </c>
      <c r="V69" s="33">
        <f t="shared" si="11"/>
        <v>1</v>
      </c>
      <c r="W69" s="69">
        <f t="shared" si="12"/>
        <v>110007.42</v>
      </c>
      <c r="X69" s="69">
        <f t="shared" si="13"/>
        <v>110007.42</v>
      </c>
      <c r="Y69" s="70" t="s">
        <v>188</v>
      </c>
      <c r="Z69" s="72">
        <v>18334.57</v>
      </c>
      <c r="AA69" s="70" t="s">
        <v>231</v>
      </c>
      <c r="AB69" s="68">
        <f t="shared" si="14"/>
        <v>0</v>
      </c>
      <c r="AC69" s="73">
        <v>42984</v>
      </c>
      <c r="AD69" s="73">
        <v>43014</v>
      </c>
      <c r="AE69" s="70" t="s">
        <v>57</v>
      </c>
      <c r="AF69" s="71">
        <v>0</v>
      </c>
      <c r="AG69" s="71">
        <v>0</v>
      </c>
      <c r="AH69" s="32">
        <f t="shared" si="15"/>
        <v>6</v>
      </c>
      <c r="AI69" s="71">
        <v>6</v>
      </c>
      <c r="AJ69" s="33">
        <f t="shared" si="16"/>
        <v>1</v>
      </c>
      <c r="AK69" s="69">
        <f t="shared" si="17"/>
        <v>110007.42</v>
      </c>
      <c r="AL69" s="69">
        <f t="shared" si="18"/>
        <v>110007.42</v>
      </c>
      <c r="AM69" s="70" t="s">
        <v>72</v>
      </c>
      <c r="AN69" s="70" t="s">
        <v>82</v>
      </c>
      <c r="AO69" s="70" t="s">
        <v>85</v>
      </c>
    </row>
    <row r="70" spans="1:41" x14ac:dyDescent="0.25">
      <c r="A70" s="70">
        <v>54397</v>
      </c>
      <c r="B70" s="70">
        <v>2017</v>
      </c>
      <c r="C70" s="70" t="s">
        <v>65</v>
      </c>
      <c r="D70" s="70" t="s">
        <v>228</v>
      </c>
      <c r="E70" s="70" t="s">
        <v>228</v>
      </c>
      <c r="F70" s="70">
        <v>6086</v>
      </c>
      <c r="G70" s="70" t="s">
        <v>214</v>
      </c>
      <c r="H70" s="71">
        <v>0</v>
      </c>
      <c r="I70" s="71">
        <v>0</v>
      </c>
      <c r="J70" s="71">
        <v>0</v>
      </c>
      <c r="K70" s="71">
        <v>0</v>
      </c>
      <c r="L70" s="71">
        <v>0</v>
      </c>
      <c r="M70" s="71">
        <v>0</v>
      </c>
      <c r="N70" s="71">
        <v>0</v>
      </c>
      <c r="O70" s="71">
        <v>0</v>
      </c>
      <c r="P70" s="71">
        <v>0</v>
      </c>
      <c r="Q70" s="71">
        <v>6</v>
      </c>
      <c r="R70" s="71">
        <v>0</v>
      </c>
      <c r="S70" s="71">
        <v>0</v>
      </c>
      <c r="T70" s="68">
        <f t="shared" si="10"/>
        <v>6</v>
      </c>
      <c r="U70" s="71">
        <v>6</v>
      </c>
      <c r="V70" s="33">
        <f t="shared" si="11"/>
        <v>1</v>
      </c>
      <c r="W70" s="69">
        <f t="shared" si="12"/>
        <v>110007.42</v>
      </c>
      <c r="X70" s="69">
        <f t="shared" si="13"/>
        <v>110007.42</v>
      </c>
      <c r="Y70" s="70" t="s">
        <v>188</v>
      </c>
      <c r="Z70" s="72">
        <v>18334.57</v>
      </c>
      <c r="AA70" s="70" t="s">
        <v>232</v>
      </c>
      <c r="AB70" s="68">
        <f t="shared" si="14"/>
        <v>0</v>
      </c>
      <c r="AC70" s="73">
        <v>43013</v>
      </c>
      <c r="AD70" s="73">
        <v>43044</v>
      </c>
      <c r="AE70" s="70" t="s">
        <v>57</v>
      </c>
      <c r="AF70" s="71">
        <v>0</v>
      </c>
      <c r="AG70" s="71">
        <v>0</v>
      </c>
      <c r="AH70" s="32">
        <f t="shared" si="15"/>
        <v>6</v>
      </c>
      <c r="AI70" s="71">
        <v>6</v>
      </c>
      <c r="AJ70" s="33">
        <f t="shared" si="16"/>
        <v>1</v>
      </c>
      <c r="AK70" s="69">
        <f t="shared" si="17"/>
        <v>110007.42</v>
      </c>
      <c r="AL70" s="69">
        <f t="shared" si="18"/>
        <v>110007.42</v>
      </c>
      <c r="AM70" s="70" t="s">
        <v>72</v>
      </c>
      <c r="AN70" s="70" t="s">
        <v>82</v>
      </c>
      <c r="AO70" s="70" t="s">
        <v>85</v>
      </c>
    </row>
    <row r="71" spans="1:41" x14ac:dyDescent="0.25">
      <c r="A71" s="70">
        <v>53834</v>
      </c>
      <c r="B71" s="70">
        <v>2017</v>
      </c>
      <c r="C71" s="70" t="s">
        <v>65</v>
      </c>
      <c r="D71" s="70" t="s">
        <v>228</v>
      </c>
      <c r="E71" s="70" t="s">
        <v>228</v>
      </c>
      <c r="F71" s="70" t="s">
        <v>20</v>
      </c>
      <c r="G71" s="70" t="s">
        <v>233</v>
      </c>
      <c r="H71" s="71">
        <v>0</v>
      </c>
      <c r="I71" s="71">
        <v>0</v>
      </c>
      <c r="J71" s="71">
        <v>0</v>
      </c>
      <c r="K71" s="71">
        <v>0</v>
      </c>
      <c r="L71" s="71">
        <v>0</v>
      </c>
      <c r="M71" s="71">
        <v>0</v>
      </c>
      <c r="N71" s="71">
        <v>0</v>
      </c>
      <c r="O71" s="71">
        <v>10</v>
      </c>
      <c r="P71" s="71">
        <v>0</v>
      </c>
      <c r="Q71" s="71">
        <v>0</v>
      </c>
      <c r="R71" s="71">
        <v>0</v>
      </c>
      <c r="S71" s="71">
        <v>0</v>
      </c>
      <c r="T71" s="68">
        <f t="shared" si="10"/>
        <v>10</v>
      </c>
      <c r="U71" s="71">
        <v>10</v>
      </c>
      <c r="V71" s="33">
        <f t="shared" si="11"/>
        <v>1</v>
      </c>
      <c r="W71" s="69">
        <f t="shared" si="12"/>
        <v>37468.300000000003</v>
      </c>
      <c r="X71" s="69">
        <f t="shared" si="13"/>
        <v>37468.300000000003</v>
      </c>
      <c r="Y71" s="70" t="s">
        <v>188</v>
      </c>
      <c r="Z71" s="72">
        <v>3746.83</v>
      </c>
      <c r="AA71" s="70" t="s">
        <v>234</v>
      </c>
      <c r="AB71" s="68">
        <f t="shared" si="14"/>
        <v>0</v>
      </c>
      <c r="AC71" s="73">
        <v>42963</v>
      </c>
      <c r="AD71" s="73">
        <v>42994</v>
      </c>
      <c r="AE71" s="70" t="s">
        <v>57</v>
      </c>
      <c r="AF71" s="71">
        <v>0</v>
      </c>
      <c r="AG71" s="71">
        <v>0</v>
      </c>
      <c r="AH71" s="32">
        <f t="shared" si="15"/>
        <v>10</v>
      </c>
      <c r="AI71" s="71">
        <v>10</v>
      </c>
      <c r="AJ71" s="33">
        <f t="shared" si="16"/>
        <v>1</v>
      </c>
      <c r="AK71" s="69">
        <f t="shared" si="17"/>
        <v>37468.300000000003</v>
      </c>
      <c r="AL71" s="69">
        <f t="shared" si="18"/>
        <v>37468.300000000003</v>
      </c>
      <c r="AM71" s="70" t="s">
        <v>72</v>
      </c>
      <c r="AN71" s="70" t="s">
        <v>82</v>
      </c>
      <c r="AO71" s="70" t="s">
        <v>85</v>
      </c>
    </row>
    <row r="72" spans="1:41" x14ac:dyDescent="0.25">
      <c r="A72" s="70">
        <v>52721</v>
      </c>
      <c r="B72" s="70">
        <v>2017</v>
      </c>
      <c r="C72" s="70" t="s">
        <v>65</v>
      </c>
      <c r="D72" s="70" t="s">
        <v>185</v>
      </c>
      <c r="E72" s="70" t="s">
        <v>185</v>
      </c>
      <c r="F72" s="70" t="s">
        <v>20</v>
      </c>
      <c r="G72" s="70" t="s">
        <v>233</v>
      </c>
      <c r="H72" s="71">
        <v>0</v>
      </c>
      <c r="I72" s="71">
        <v>0</v>
      </c>
      <c r="J72" s="71">
        <v>0</v>
      </c>
      <c r="K72" s="71">
        <v>0</v>
      </c>
      <c r="L72" s="71">
        <v>19</v>
      </c>
      <c r="M72" s="71">
        <v>0</v>
      </c>
      <c r="N72" s="71">
        <v>0</v>
      </c>
      <c r="O72" s="71">
        <v>0</v>
      </c>
      <c r="P72" s="71">
        <v>0</v>
      </c>
      <c r="Q72" s="71">
        <v>0</v>
      </c>
      <c r="R72" s="71">
        <v>0</v>
      </c>
      <c r="S72" s="71">
        <v>0</v>
      </c>
      <c r="T72" s="68">
        <f t="shared" si="10"/>
        <v>19</v>
      </c>
      <c r="U72" s="71">
        <v>19</v>
      </c>
      <c r="V72" s="33">
        <f t="shared" si="11"/>
        <v>1</v>
      </c>
      <c r="W72" s="69">
        <f t="shared" si="12"/>
        <v>71189.77</v>
      </c>
      <c r="X72" s="69">
        <f t="shared" si="13"/>
        <v>71189.77</v>
      </c>
      <c r="Y72" s="70" t="s">
        <v>188</v>
      </c>
      <c r="Z72" s="72">
        <v>3746.83</v>
      </c>
      <c r="AA72" s="70" t="s">
        <v>235</v>
      </c>
      <c r="AB72" s="68">
        <f t="shared" si="14"/>
        <v>0</v>
      </c>
      <c r="AC72" s="73">
        <v>42837</v>
      </c>
      <c r="AD72" s="73">
        <v>42867</v>
      </c>
      <c r="AE72" s="70" t="s">
        <v>57</v>
      </c>
      <c r="AF72" s="71">
        <v>0</v>
      </c>
      <c r="AG72" s="71">
        <v>0</v>
      </c>
      <c r="AH72" s="32">
        <f t="shared" si="15"/>
        <v>19</v>
      </c>
      <c r="AI72" s="71">
        <v>19</v>
      </c>
      <c r="AJ72" s="33">
        <f t="shared" si="16"/>
        <v>1</v>
      </c>
      <c r="AK72" s="69">
        <f t="shared" si="17"/>
        <v>71189.77</v>
      </c>
      <c r="AL72" s="69">
        <f t="shared" si="18"/>
        <v>71189.77</v>
      </c>
      <c r="AM72" s="70" t="s">
        <v>72</v>
      </c>
      <c r="AN72" s="70" t="s">
        <v>82</v>
      </c>
      <c r="AO72" s="70" t="s">
        <v>85</v>
      </c>
    </row>
    <row r="73" spans="1:41" x14ac:dyDescent="0.25">
      <c r="A73" s="70">
        <v>1050</v>
      </c>
      <c r="B73" s="70">
        <v>2017</v>
      </c>
      <c r="C73" s="70" t="s">
        <v>65</v>
      </c>
      <c r="D73" s="70" t="s">
        <v>97</v>
      </c>
      <c r="E73" s="70" t="s">
        <v>161</v>
      </c>
      <c r="F73" s="70">
        <v>5632</v>
      </c>
      <c r="G73" s="70" t="s">
        <v>212</v>
      </c>
      <c r="H73" s="71">
        <v>0</v>
      </c>
      <c r="I73" s="71">
        <v>0</v>
      </c>
      <c r="J73" s="71">
        <v>0</v>
      </c>
      <c r="K73" s="71">
        <v>0</v>
      </c>
      <c r="L73" s="71">
        <v>0</v>
      </c>
      <c r="M73" s="71">
        <v>0</v>
      </c>
      <c r="N73" s="71">
        <v>0</v>
      </c>
      <c r="O73" s="71">
        <v>0</v>
      </c>
      <c r="P73" s="71">
        <v>0</v>
      </c>
      <c r="Q73" s="71">
        <v>2</v>
      </c>
      <c r="R73" s="71">
        <v>0</v>
      </c>
      <c r="S73" s="71">
        <v>0</v>
      </c>
      <c r="T73" s="68">
        <f t="shared" si="10"/>
        <v>2</v>
      </c>
      <c r="U73" s="71">
        <v>2</v>
      </c>
      <c r="V73" s="33">
        <f t="shared" si="11"/>
        <v>1</v>
      </c>
      <c r="W73" s="69">
        <f t="shared" si="12"/>
        <v>8856</v>
      </c>
      <c r="X73" s="69">
        <f t="shared" si="13"/>
        <v>8856</v>
      </c>
      <c r="Y73" s="70" t="s">
        <v>188</v>
      </c>
      <c r="Z73" s="72">
        <v>4428</v>
      </c>
      <c r="AA73" s="70" t="s">
        <v>236</v>
      </c>
      <c r="AB73" s="68">
        <f t="shared" si="14"/>
        <v>0</v>
      </c>
      <c r="AC73" s="73">
        <v>43031</v>
      </c>
      <c r="AD73" s="73">
        <v>43062</v>
      </c>
      <c r="AE73" s="70" t="s">
        <v>57</v>
      </c>
      <c r="AF73" s="71">
        <v>0</v>
      </c>
      <c r="AG73" s="71">
        <v>0</v>
      </c>
      <c r="AH73" s="32">
        <f t="shared" si="15"/>
        <v>2</v>
      </c>
      <c r="AI73" s="71">
        <v>2</v>
      </c>
      <c r="AJ73" s="33">
        <f t="shared" si="16"/>
        <v>1</v>
      </c>
      <c r="AK73" s="69">
        <f t="shared" si="17"/>
        <v>8856</v>
      </c>
      <c r="AL73" s="69">
        <f t="shared" si="18"/>
        <v>8856</v>
      </c>
      <c r="AM73" s="70" t="s">
        <v>99</v>
      </c>
      <c r="AN73" s="70" t="s">
        <v>82</v>
      </c>
      <c r="AO73" s="70" t="s">
        <v>85</v>
      </c>
    </row>
    <row r="74" spans="1:41" x14ac:dyDescent="0.25">
      <c r="A74" s="70">
        <v>52220</v>
      </c>
      <c r="B74" s="70">
        <v>2017</v>
      </c>
      <c r="C74" s="70" t="s">
        <v>65</v>
      </c>
      <c r="D74" s="70" t="s">
        <v>97</v>
      </c>
      <c r="E74" s="70" t="s">
        <v>161</v>
      </c>
      <c r="F74" s="70">
        <v>5632</v>
      </c>
      <c r="G74" s="70" t="s">
        <v>212</v>
      </c>
      <c r="H74" s="71">
        <v>0</v>
      </c>
      <c r="I74" s="71">
        <v>0</v>
      </c>
      <c r="J74" s="71">
        <v>3</v>
      </c>
      <c r="K74" s="71">
        <v>0</v>
      </c>
      <c r="L74" s="71">
        <v>0</v>
      </c>
      <c r="M74" s="71">
        <v>0</v>
      </c>
      <c r="N74" s="71">
        <v>0</v>
      </c>
      <c r="O74" s="71">
        <v>0</v>
      </c>
      <c r="P74" s="71">
        <v>0</v>
      </c>
      <c r="Q74" s="71">
        <v>0</v>
      </c>
      <c r="R74" s="71">
        <v>0</v>
      </c>
      <c r="S74" s="71">
        <v>0</v>
      </c>
      <c r="T74" s="68">
        <f t="shared" si="10"/>
        <v>3</v>
      </c>
      <c r="U74" s="71">
        <v>3</v>
      </c>
      <c r="V74" s="33">
        <f t="shared" si="11"/>
        <v>1</v>
      </c>
      <c r="W74" s="69">
        <f t="shared" si="12"/>
        <v>13284</v>
      </c>
      <c r="X74" s="69">
        <f t="shared" si="13"/>
        <v>13284</v>
      </c>
      <c r="Y74" s="70" t="s">
        <v>188</v>
      </c>
      <c r="Z74" s="72">
        <v>4428</v>
      </c>
      <c r="AA74" s="70" t="s">
        <v>237</v>
      </c>
      <c r="AB74" s="68">
        <f t="shared" si="14"/>
        <v>0</v>
      </c>
      <c r="AC74" s="73">
        <v>42801</v>
      </c>
      <c r="AD74" s="73">
        <v>42832</v>
      </c>
      <c r="AE74" s="70" t="s">
        <v>57</v>
      </c>
      <c r="AF74" s="71">
        <v>0</v>
      </c>
      <c r="AG74" s="71">
        <v>0</v>
      </c>
      <c r="AH74" s="32">
        <f t="shared" si="15"/>
        <v>3</v>
      </c>
      <c r="AI74" s="71">
        <v>3</v>
      </c>
      <c r="AJ74" s="33">
        <f t="shared" si="16"/>
        <v>1</v>
      </c>
      <c r="AK74" s="69">
        <f t="shared" si="17"/>
        <v>13284</v>
      </c>
      <c r="AL74" s="69">
        <f t="shared" si="18"/>
        <v>13284</v>
      </c>
      <c r="AM74" s="70" t="s">
        <v>99</v>
      </c>
      <c r="AN74" s="70" t="s">
        <v>82</v>
      </c>
      <c r="AO74" s="70" t="s">
        <v>85</v>
      </c>
    </row>
    <row r="75" spans="1:41" x14ac:dyDescent="0.25">
      <c r="A75" s="70">
        <v>53023</v>
      </c>
      <c r="B75" s="70">
        <v>2017</v>
      </c>
      <c r="C75" s="70" t="s">
        <v>65</v>
      </c>
      <c r="D75" s="70" t="s">
        <v>97</v>
      </c>
      <c r="E75" s="70" t="s">
        <v>161</v>
      </c>
      <c r="F75" s="70">
        <v>5632</v>
      </c>
      <c r="G75" s="70" t="s">
        <v>212</v>
      </c>
      <c r="H75" s="71">
        <v>0</v>
      </c>
      <c r="I75" s="71">
        <v>0</v>
      </c>
      <c r="J75" s="71">
        <v>0</v>
      </c>
      <c r="K75" s="71">
        <v>0</v>
      </c>
      <c r="L75" s="71">
        <v>3</v>
      </c>
      <c r="M75" s="71">
        <v>0</v>
      </c>
      <c r="N75" s="71">
        <v>0</v>
      </c>
      <c r="O75" s="71">
        <v>0</v>
      </c>
      <c r="P75" s="71">
        <v>0</v>
      </c>
      <c r="Q75" s="71">
        <v>0</v>
      </c>
      <c r="R75" s="71">
        <v>0</v>
      </c>
      <c r="S75" s="71">
        <v>0</v>
      </c>
      <c r="T75" s="68">
        <f t="shared" si="10"/>
        <v>3</v>
      </c>
      <c r="U75" s="71">
        <v>3</v>
      </c>
      <c r="V75" s="33">
        <f t="shared" si="11"/>
        <v>1</v>
      </c>
      <c r="W75" s="69">
        <f t="shared" si="12"/>
        <v>13284</v>
      </c>
      <c r="X75" s="69">
        <f t="shared" si="13"/>
        <v>13284</v>
      </c>
      <c r="Y75" s="70" t="s">
        <v>188</v>
      </c>
      <c r="Z75" s="72">
        <v>4428</v>
      </c>
      <c r="AA75" s="70" t="s">
        <v>238</v>
      </c>
      <c r="AB75" s="68">
        <f t="shared" si="14"/>
        <v>0</v>
      </c>
      <c r="AC75" s="73">
        <v>42870</v>
      </c>
      <c r="AD75" s="73">
        <v>42901</v>
      </c>
      <c r="AE75" s="70" t="s">
        <v>57</v>
      </c>
      <c r="AF75" s="71">
        <v>0</v>
      </c>
      <c r="AG75" s="71">
        <v>0</v>
      </c>
      <c r="AH75" s="32">
        <f t="shared" si="15"/>
        <v>3</v>
      </c>
      <c r="AI75" s="71">
        <v>3</v>
      </c>
      <c r="AJ75" s="33">
        <f t="shared" si="16"/>
        <v>1</v>
      </c>
      <c r="AK75" s="69">
        <f t="shared" si="17"/>
        <v>13284</v>
      </c>
      <c r="AL75" s="69">
        <f t="shared" si="18"/>
        <v>13284</v>
      </c>
      <c r="AM75" s="70" t="s">
        <v>99</v>
      </c>
      <c r="AN75" s="70" t="s">
        <v>82</v>
      </c>
      <c r="AO75" s="70" t="s">
        <v>85</v>
      </c>
    </row>
    <row r="76" spans="1:41" x14ac:dyDescent="0.25">
      <c r="A76" s="70">
        <v>53336</v>
      </c>
      <c r="B76" s="70">
        <v>2017</v>
      </c>
      <c r="C76" s="70" t="s">
        <v>65</v>
      </c>
      <c r="D76" s="70" t="s">
        <v>97</v>
      </c>
      <c r="E76" s="70" t="s">
        <v>161</v>
      </c>
      <c r="F76" s="70">
        <v>5632</v>
      </c>
      <c r="G76" s="70" t="s">
        <v>212</v>
      </c>
      <c r="H76" s="71">
        <v>0</v>
      </c>
      <c r="I76" s="71">
        <v>0</v>
      </c>
      <c r="J76" s="71">
        <v>0</v>
      </c>
      <c r="K76" s="71">
        <v>0</v>
      </c>
      <c r="L76" s="71">
        <v>0</v>
      </c>
      <c r="M76" s="71">
        <v>3</v>
      </c>
      <c r="N76" s="71">
        <v>0</v>
      </c>
      <c r="O76" s="71">
        <v>0</v>
      </c>
      <c r="P76" s="71">
        <v>0</v>
      </c>
      <c r="Q76" s="71">
        <v>0</v>
      </c>
      <c r="R76" s="71">
        <v>0</v>
      </c>
      <c r="S76" s="71">
        <v>0</v>
      </c>
      <c r="T76" s="68">
        <f t="shared" si="10"/>
        <v>3</v>
      </c>
      <c r="U76" s="71">
        <v>3</v>
      </c>
      <c r="V76" s="33">
        <f t="shared" si="11"/>
        <v>1</v>
      </c>
      <c r="W76" s="69">
        <f t="shared" si="12"/>
        <v>13284</v>
      </c>
      <c r="X76" s="69">
        <f t="shared" si="13"/>
        <v>13284</v>
      </c>
      <c r="Y76" s="70" t="s">
        <v>188</v>
      </c>
      <c r="Z76" s="72">
        <v>4428</v>
      </c>
      <c r="AA76" s="70" t="s">
        <v>239</v>
      </c>
      <c r="AB76" s="68">
        <f t="shared" si="14"/>
        <v>0</v>
      </c>
      <c r="AC76" s="73">
        <v>42901</v>
      </c>
      <c r="AD76" s="73">
        <v>42962</v>
      </c>
      <c r="AE76" s="70" t="s">
        <v>57</v>
      </c>
      <c r="AF76" s="71">
        <v>0</v>
      </c>
      <c r="AG76" s="71">
        <v>0</v>
      </c>
      <c r="AH76" s="32">
        <f t="shared" si="15"/>
        <v>3</v>
      </c>
      <c r="AI76" s="71">
        <v>3</v>
      </c>
      <c r="AJ76" s="33">
        <f t="shared" si="16"/>
        <v>1</v>
      </c>
      <c r="AK76" s="69">
        <f t="shared" si="17"/>
        <v>13284</v>
      </c>
      <c r="AL76" s="69">
        <f t="shared" si="18"/>
        <v>13284</v>
      </c>
      <c r="AM76" s="70" t="s">
        <v>99</v>
      </c>
      <c r="AN76" s="70" t="s">
        <v>82</v>
      </c>
      <c r="AO76" s="70" t="s">
        <v>85</v>
      </c>
    </row>
    <row r="77" spans="1:41" x14ac:dyDescent="0.25">
      <c r="A77" s="70">
        <v>55312</v>
      </c>
      <c r="B77" s="70">
        <v>2017</v>
      </c>
      <c r="C77" s="70" t="s">
        <v>65</v>
      </c>
      <c r="D77" s="70" t="s">
        <v>97</v>
      </c>
      <c r="E77" s="70" t="s">
        <v>161</v>
      </c>
      <c r="F77" s="70">
        <v>5632</v>
      </c>
      <c r="G77" s="70" t="s">
        <v>212</v>
      </c>
      <c r="H77" s="71">
        <v>0</v>
      </c>
      <c r="I77" s="71">
        <v>0</v>
      </c>
      <c r="J77" s="71">
        <v>0</v>
      </c>
      <c r="K77" s="71">
        <v>0</v>
      </c>
      <c r="L77" s="71">
        <v>0</v>
      </c>
      <c r="M77" s="71">
        <v>0</v>
      </c>
      <c r="N77" s="71">
        <v>0</v>
      </c>
      <c r="O77" s="71">
        <v>0</v>
      </c>
      <c r="P77" s="71">
        <v>0</v>
      </c>
      <c r="Q77" s="71">
        <v>0</v>
      </c>
      <c r="R77" s="71">
        <v>0</v>
      </c>
      <c r="S77" s="71">
        <v>3</v>
      </c>
      <c r="T77" s="68">
        <f t="shared" si="10"/>
        <v>3</v>
      </c>
      <c r="U77" s="71">
        <v>3</v>
      </c>
      <c r="V77" s="33">
        <f t="shared" si="11"/>
        <v>1</v>
      </c>
      <c r="W77" s="69">
        <f t="shared" si="12"/>
        <v>13284</v>
      </c>
      <c r="X77" s="69">
        <f t="shared" si="13"/>
        <v>13284</v>
      </c>
      <c r="Y77" s="70" t="s">
        <v>188</v>
      </c>
      <c r="Z77" s="72">
        <v>4428</v>
      </c>
      <c r="AA77" s="70" t="s">
        <v>240</v>
      </c>
      <c r="AB77" s="68">
        <f t="shared" si="14"/>
        <v>0</v>
      </c>
      <c r="AC77" s="73">
        <v>43091</v>
      </c>
      <c r="AD77" s="73">
        <v>43095</v>
      </c>
      <c r="AE77" s="70" t="s">
        <v>57</v>
      </c>
      <c r="AF77" s="71">
        <v>0</v>
      </c>
      <c r="AG77" s="71">
        <v>0</v>
      </c>
      <c r="AH77" s="32">
        <f t="shared" si="15"/>
        <v>3</v>
      </c>
      <c r="AI77" s="71">
        <v>3</v>
      </c>
      <c r="AJ77" s="33">
        <f t="shared" si="16"/>
        <v>1</v>
      </c>
      <c r="AK77" s="69">
        <f t="shared" si="17"/>
        <v>13284</v>
      </c>
      <c r="AL77" s="69">
        <f t="shared" si="18"/>
        <v>13284</v>
      </c>
      <c r="AM77" s="70" t="s">
        <v>99</v>
      </c>
      <c r="AN77" s="70" t="s">
        <v>82</v>
      </c>
      <c r="AO77" s="70" t="s">
        <v>85</v>
      </c>
    </row>
    <row r="78" spans="1:41" x14ac:dyDescent="0.25">
      <c r="A78" s="70">
        <v>894</v>
      </c>
      <c r="B78" s="70">
        <v>2017</v>
      </c>
      <c r="C78" s="70" t="s">
        <v>65</v>
      </c>
      <c r="D78" s="70" t="s">
        <v>97</v>
      </c>
      <c r="E78" s="70" t="s">
        <v>161</v>
      </c>
      <c r="F78" s="70">
        <v>6086</v>
      </c>
      <c r="G78" s="70" t="s">
        <v>214</v>
      </c>
      <c r="H78" s="71">
        <v>0</v>
      </c>
      <c r="I78" s="71">
        <v>0</v>
      </c>
      <c r="J78" s="71">
        <v>0</v>
      </c>
      <c r="K78" s="71">
        <v>0</v>
      </c>
      <c r="L78" s="71">
        <v>0</v>
      </c>
      <c r="M78" s="71">
        <v>0</v>
      </c>
      <c r="N78" s="71">
        <v>0</v>
      </c>
      <c r="O78" s="71">
        <v>0</v>
      </c>
      <c r="P78" s="71">
        <v>6</v>
      </c>
      <c r="Q78" s="71">
        <v>0</v>
      </c>
      <c r="R78" s="71">
        <v>0</v>
      </c>
      <c r="S78" s="71">
        <v>0</v>
      </c>
      <c r="T78" s="68">
        <f t="shared" si="10"/>
        <v>6</v>
      </c>
      <c r="U78" s="71">
        <v>6</v>
      </c>
      <c r="V78" s="33">
        <f t="shared" si="11"/>
        <v>1</v>
      </c>
      <c r="W78" s="69">
        <f t="shared" si="12"/>
        <v>110007.42</v>
      </c>
      <c r="X78" s="69">
        <f t="shared" si="13"/>
        <v>110007.42</v>
      </c>
      <c r="Y78" s="70" t="s">
        <v>188</v>
      </c>
      <c r="Z78" s="72">
        <v>18334.57</v>
      </c>
      <c r="AA78" s="70" t="s">
        <v>241</v>
      </c>
      <c r="AB78" s="68">
        <f t="shared" si="14"/>
        <v>0</v>
      </c>
      <c r="AC78" s="73">
        <v>42986</v>
      </c>
      <c r="AD78" s="73">
        <v>43016</v>
      </c>
      <c r="AE78" s="70" t="s">
        <v>57</v>
      </c>
      <c r="AF78" s="71">
        <v>0</v>
      </c>
      <c r="AG78" s="71">
        <v>0</v>
      </c>
      <c r="AH78" s="32">
        <f t="shared" si="15"/>
        <v>6</v>
      </c>
      <c r="AI78" s="71">
        <v>6</v>
      </c>
      <c r="AJ78" s="33">
        <f t="shared" si="16"/>
        <v>1</v>
      </c>
      <c r="AK78" s="69">
        <f t="shared" si="17"/>
        <v>110007.42</v>
      </c>
      <c r="AL78" s="69">
        <f t="shared" si="18"/>
        <v>110007.42</v>
      </c>
      <c r="AM78" s="70" t="s">
        <v>99</v>
      </c>
      <c r="AN78" s="70" t="s">
        <v>82</v>
      </c>
      <c r="AO78" s="70" t="s">
        <v>85</v>
      </c>
    </row>
    <row r="79" spans="1:41" x14ac:dyDescent="0.25">
      <c r="A79" s="70">
        <v>1152</v>
      </c>
      <c r="B79" s="70">
        <v>2017</v>
      </c>
      <c r="C79" s="70" t="s">
        <v>65</v>
      </c>
      <c r="D79" s="70" t="s">
        <v>97</v>
      </c>
      <c r="E79" s="70" t="s">
        <v>161</v>
      </c>
      <c r="F79" s="70">
        <v>6086</v>
      </c>
      <c r="G79" s="70" t="s">
        <v>214</v>
      </c>
      <c r="H79" s="71">
        <v>0</v>
      </c>
      <c r="I79" s="71">
        <v>0</v>
      </c>
      <c r="J79" s="71">
        <v>0</v>
      </c>
      <c r="K79" s="71">
        <v>0</v>
      </c>
      <c r="L79" s="71">
        <v>0</v>
      </c>
      <c r="M79" s="71">
        <v>0</v>
      </c>
      <c r="N79" s="71">
        <v>0</v>
      </c>
      <c r="O79" s="71">
        <v>0</v>
      </c>
      <c r="P79" s="71">
        <v>0</v>
      </c>
      <c r="Q79" s="71">
        <v>0</v>
      </c>
      <c r="R79" s="71">
        <v>0</v>
      </c>
      <c r="S79" s="71">
        <v>6</v>
      </c>
      <c r="T79" s="68">
        <f t="shared" si="10"/>
        <v>6</v>
      </c>
      <c r="U79" s="71">
        <v>6</v>
      </c>
      <c r="V79" s="33">
        <f t="shared" si="11"/>
        <v>1</v>
      </c>
      <c r="W79" s="69">
        <f t="shared" si="12"/>
        <v>110007.42</v>
      </c>
      <c r="X79" s="69">
        <f t="shared" si="13"/>
        <v>110007.42</v>
      </c>
      <c r="Y79" s="70" t="s">
        <v>188</v>
      </c>
      <c r="Z79" s="72">
        <v>18334.57</v>
      </c>
      <c r="AA79" s="70" t="s">
        <v>242</v>
      </c>
      <c r="AB79" s="68">
        <f t="shared" si="14"/>
        <v>0</v>
      </c>
      <c r="AC79" s="73">
        <v>43060</v>
      </c>
      <c r="AD79" s="73">
        <v>43079</v>
      </c>
      <c r="AE79" s="70" t="s">
        <v>57</v>
      </c>
      <c r="AF79" s="71">
        <v>0</v>
      </c>
      <c r="AG79" s="71">
        <v>0</v>
      </c>
      <c r="AH79" s="32">
        <f t="shared" si="15"/>
        <v>6</v>
      </c>
      <c r="AI79" s="71">
        <v>6</v>
      </c>
      <c r="AJ79" s="33">
        <f t="shared" si="16"/>
        <v>1</v>
      </c>
      <c r="AK79" s="69">
        <f t="shared" si="17"/>
        <v>110007.42</v>
      </c>
      <c r="AL79" s="69">
        <f t="shared" si="18"/>
        <v>110007.42</v>
      </c>
      <c r="AM79" s="70" t="s">
        <v>99</v>
      </c>
      <c r="AN79" s="70" t="s">
        <v>82</v>
      </c>
      <c r="AO79" s="70" t="s">
        <v>85</v>
      </c>
    </row>
    <row r="80" spans="1:41" x14ac:dyDescent="0.25">
      <c r="A80" s="70">
        <v>52181</v>
      </c>
      <c r="B80" s="70">
        <v>2017</v>
      </c>
      <c r="C80" s="70" t="s">
        <v>65</v>
      </c>
      <c r="D80" s="70" t="s">
        <v>97</v>
      </c>
      <c r="E80" s="70" t="s">
        <v>161</v>
      </c>
      <c r="F80" s="70">
        <v>6089</v>
      </c>
      <c r="G80" s="70" t="s">
        <v>220</v>
      </c>
      <c r="H80" s="71">
        <v>0</v>
      </c>
      <c r="I80" s="71">
        <v>0</v>
      </c>
      <c r="J80" s="71">
        <v>8</v>
      </c>
      <c r="K80" s="71">
        <v>0</v>
      </c>
      <c r="L80" s="71">
        <v>0</v>
      </c>
      <c r="M80" s="71">
        <v>0</v>
      </c>
      <c r="N80" s="71">
        <v>0</v>
      </c>
      <c r="O80" s="71">
        <v>0</v>
      </c>
      <c r="P80" s="71">
        <v>0</v>
      </c>
      <c r="Q80" s="71">
        <v>0</v>
      </c>
      <c r="R80" s="71">
        <v>0</v>
      </c>
      <c r="S80" s="71">
        <v>0</v>
      </c>
      <c r="T80" s="68">
        <f t="shared" si="10"/>
        <v>8</v>
      </c>
      <c r="U80" s="71">
        <v>8</v>
      </c>
      <c r="V80" s="33">
        <f t="shared" si="11"/>
        <v>1</v>
      </c>
      <c r="W80" s="69">
        <f t="shared" si="12"/>
        <v>37872</v>
      </c>
      <c r="X80" s="69">
        <f t="shared" si="13"/>
        <v>37872</v>
      </c>
      <c r="Y80" s="70" t="s">
        <v>188</v>
      </c>
      <c r="Z80" s="72">
        <v>4734</v>
      </c>
      <c r="AA80" s="70" t="s">
        <v>164</v>
      </c>
      <c r="AB80" s="68">
        <f t="shared" si="14"/>
        <v>0</v>
      </c>
      <c r="AC80" s="73">
        <v>42797</v>
      </c>
      <c r="AD80" s="73">
        <v>42828</v>
      </c>
      <c r="AE80" s="70" t="s">
        <v>57</v>
      </c>
      <c r="AF80" s="71">
        <v>0</v>
      </c>
      <c r="AG80" s="71">
        <v>0</v>
      </c>
      <c r="AH80" s="32">
        <f t="shared" si="15"/>
        <v>8</v>
      </c>
      <c r="AI80" s="71">
        <v>8</v>
      </c>
      <c r="AJ80" s="33">
        <f t="shared" si="16"/>
        <v>1</v>
      </c>
      <c r="AK80" s="69">
        <f t="shared" si="17"/>
        <v>37872</v>
      </c>
      <c r="AL80" s="69">
        <f t="shared" si="18"/>
        <v>37872</v>
      </c>
      <c r="AM80" s="70" t="s">
        <v>99</v>
      </c>
      <c r="AN80" s="70" t="s">
        <v>82</v>
      </c>
      <c r="AO80" s="70" t="s">
        <v>85</v>
      </c>
    </row>
    <row r="81" spans="1:41" x14ac:dyDescent="0.25">
      <c r="A81" s="70">
        <v>53336</v>
      </c>
      <c r="B81" s="70">
        <v>2017</v>
      </c>
      <c r="C81" s="70" t="s">
        <v>65</v>
      </c>
      <c r="D81" s="70" t="s">
        <v>97</v>
      </c>
      <c r="E81" s="70" t="s">
        <v>161</v>
      </c>
      <c r="F81" s="70">
        <v>6089</v>
      </c>
      <c r="G81" s="70" t="s">
        <v>220</v>
      </c>
      <c r="H81" s="71">
        <v>0</v>
      </c>
      <c r="I81" s="71">
        <v>0</v>
      </c>
      <c r="J81" s="71">
        <v>0</v>
      </c>
      <c r="K81" s="71">
        <v>0</v>
      </c>
      <c r="L81" s="71">
        <v>0</v>
      </c>
      <c r="M81" s="71">
        <v>12</v>
      </c>
      <c r="N81" s="71">
        <v>0</v>
      </c>
      <c r="O81" s="71">
        <v>0</v>
      </c>
      <c r="P81" s="71">
        <v>0</v>
      </c>
      <c r="Q81" s="71">
        <v>0</v>
      </c>
      <c r="R81" s="71">
        <v>0</v>
      </c>
      <c r="S81" s="71">
        <v>0</v>
      </c>
      <c r="T81" s="68">
        <f t="shared" si="10"/>
        <v>12</v>
      </c>
      <c r="U81" s="71">
        <v>12</v>
      </c>
      <c r="V81" s="33">
        <f t="shared" si="11"/>
        <v>1</v>
      </c>
      <c r="W81" s="69">
        <f t="shared" si="12"/>
        <v>56808</v>
      </c>
      <c r="X81" s="69">
        <f t="shared" si="13"/>
        <v>56808</v>
      </c>
      <c r="Y81" s="70" t="s">
        <v>188</v>
      </c>
      <c r="Z81" s="72">
        <v>4734</v>
      </c>
      <c r="AA81" s="70" t="s">
        <v>239</v>
      </c>
      <c r="AB81" s="68">
        <f t="shared" si="14"/>
        <v>0</v>
      </c>
      <c r="AC81" s="73">
        <v>42901</v>
      </c>
      <c r="AD81" s="73">
        <v>42962</v>
      </c>
      <c r="AE81" s="70" t="s">
        <v>57</v>
      </c>
      <c r="AF81" s="71">
        <v>0</v>
      </c>
      <c r="AG81" s="71">
        <v>0</v>
      </c>
      <c r="AH81" s="32">
        <f t="shared" si="15"/>
        <v>12</v>
      </c>
      <c r="AI81" s="71">
        <v>12</v>
      </c>
      <c r="AJ81" s="33">
        <f t="shared" si="16"/>
        <v>1</v>
      </c>
      <c r="AK81" s="69">
        <f t="shared" si="17"/>
        <v>56808</v>
      </c>
      <c r="AL81" s="69">
        <f t="shared" si="18"/>
        <v>56808</v>
      </c>
      <c r="AM81" s="70" t="s">
        <v>99</v>
      </c>
      <c r="AN81" s="70" t="s">
        <v>82</v>
      </c>
      <c r="AO81" s="70" t="s">
        <v>85</v>
      </c>
    </row>
    <row r="82" spans="1:41" x14ac:dyDescent="0.25">
      <c r="A82" s="70">
        <v>53828</v>
      </c>
      <c r="B82" s="70">
        <v>2017</v>
      </c>
      <c r="C82" s="70" t="s">
        <v>65</v>
      </c>
      <c r="D82" s="70" t="s">
        <v>97</v>
      </c>
      <c r="E82" s="70" t="s">
        <v>161</v>
      </c>
      <c r="F82" s="70">
        <v>6089</v>
      </c>
      <c r="G82" s="70" t="s">
        <v>220</v>
      </c>
      <c r="H82" s="71">
        <v>0</v>
      </c>
      <c r="I82" s="71">
        <v>0</v>
      </c>
      <c r="J82" s="71">
        <v>0</v>
      </c>
      <c r="K82" s="71">
        <v>0</v>
      </c>
      <c r="L82" s="71">
        <v>0</v>
      </c>
      <c r="M82" s="71">
        <v>0</v>
      </c>
      <c r="N82" s="71">
        <v>0</v>
      </c>
      <c r="O82" s="71">
        <v>8</v>
      </c>
      <c r="P82" s="71">
        <v>0</v>
      </c>
      <c r="Q82" s="71">
        <v>0</v>
      </c>
      <c r="R82" s="71">
        <v>0</v>
      </c>
      <c r="S82" s="71">
        <v>0</v>
      </c>
      <c r="T82" s="68">
        <f t="shared" si="10"/>
        <v>8</v>
      </c>
      <c r="U82" s="71">
        <v>8</v>
      </c>
      <c r="V82" s="33">
        <f t="shared" si="11"/>
        <v>1</v>
      </c>
      <c r="W82" s="69">
        <f t="shared" si="12"/>
        <v>37872</v>
      </c>
      <c r="X82" s="69">
        <f t="shared" si="13"/>
        <v>37872</v>
      </c>
      <c r="Y82" s="70" t="s">
        <v>188</v>
      </c>
      <c r="Z82" s="72">
        <v>4734</v>
      </c>
      <c r="AA82" s="70" t="s">
        <v>243</v>
      </c>
      <c r="AB82" s="68">
        <f t="shared" si="14"/>
        <v>0</v>
      </c>
      <c r="AC82" s="73">
        <v>42963</v>
      </c>
      <c r="AD82" s="73">
        <v>42994</v>
      </c>
      <c r="AE82" s="70" t="s">
        <v>57</v>
      </c>
      <c r="AF82" s="71">
        <v>0</v>
      </c>
      <c r="AG82" s="71">
        <v>0</v>
      </c>
      <c r="AH82" s="32">
        <f t="shared" si="15"/>
        <v>8</v>
      </c>
      <c r="AI82" s="71">
        <v>8</v>
      </c>
      <c r="AJ82" s="33">
        <f t="shared" si="16"/>
        <v>1</v>
      </c>
      <c r="AK82" s="69">
        <f t="shared" si="17"/>
        <v>37872</v>
      </c>
      <c r="AL82" s="69">
        <f t="shared" si="18"/>
        <v>37872</v>
      </c>
      <c r="AM82" s="70" t="s">
        <v>99</v>
      </c>
      <c r="AN82" s="70" t="s">
        <v>82</v>
      </c>
      <c r="AO82" s="70" t="s">
        <v>85</v>
      </c>
    </row>
    <row r="83" spans="1:41" x14ac:dyDescent="0.25">
      <c r="A83" s="70">
        <v>55313</v>
      </c>
      <c r="B83" s="70">
        <v>2017</v>
      </c>
      <c r="C83" s="70" t="s">
        <v>65</v>
      </c>
      <c r="D83" s="70" t="s">
        <v>97</v>
      </c>
      <c r="E83" s="70" t="s">
        <v>161</v>
      </c>
      <c r="F83" s="70">
        <v>6089</v>
      </c>
      <c r="G83" s="70" t="s">
        <v>220</v>
      </c>
      <c r="H83" s="71">
        <v>0</v>
      </c>
      <c r="I83" s="71">
        <v>0</v>
      </c>
      <c r="J83" s="71">
        <v>0</v>
      </c>
      <c r="K83" s="71">
        <v>0</v>
      </c>
      <c r="L83" s="71">
        <v>0</v>
      </c>
      <c r="M83" s="71">
        <v>0</v>
      </c>
      <c r="N83" s="71">
        <v>0</v>
      </c>
      <c r="O83" s="71">
        <v>0</v>
      </c>
      <c r="P83" s="71">
        <v>0</v>
      </c>
      <c r="Q83" s="71">
        <v>0</v>
      </c>
      <c r="R83" s="71">
        <v>0</v>
      </c>
      <c r="S83" s="71">
        <v>8</v>
      </c>
      <c r="T83" s="68">
        <f t="shared" si="10"/>
        <v>8</v>
      </c>
      <c r="U83" s="71">
        <v>8</v>
      </c>
      <c r="V83" s="33">
        <f t="shared" si="11"/>
        <v>1</v>
      </c>
      <c r="W83" s="69">
        <f t="shared" si="12"/>
        <v>37872</v>
      </c>
      <c r="X83" s="69">
        <f t="shared" si="13"/>
        <v>37872</v>
      </c>
      <c r="Y83" s="70" t="s">
        <v>188</v>
      </c>
      <c r="Z83" s="72">
        <v>4734</v>
      </c>
      <c r="AA83" s="70" t="s">
        <v>240</v>
      </c>
      <c r="AB83" s="68">
        <f t="shared" si="14"/>
        <v>0</v>
      </c>
      <c r="AC83" s="73">
        <v>43091</v>
      </c>
      <c r="AD83" s="73">
        <v>43095</v>
      </c>
      <c r="AE83" s="70" t="s">
        <v>57</v>
      </c>
      <c r="AF83" s="71">
        <v>0</v>
      </c>
      <c r="AG83" s="71">
        <v>0</v>
      </c>
      <c r="AH83" s="32">
        <f t="shared" si="15"/>
        <v>8</v>
      </c>
      <c r="AI83" s="71">
        <v>8</v>
      </c>
      <c r="AJ83" s="33">
        <f t="shared" si="16"/>
        <v>1</v>
      </c>
      <c r="AK83" s="69">
        <f t="shared" si="17"/>
        <v>37872</v>
      </c>
      <c r="AL83" s="69">
        <f t="shared" si="18"/>
        <v>37872</v>
      </c>
      <c r="AM83" s="70" t="s">
        <v>99</v>
      </c>
      <c r="AN83" s="70" t="s">
        <v>82</v>
      </c>
      <c r="AO83" s="70" t="s">
        <v>85</v>
      </c>
    </row>
    <row r="84" spans="1:41" x14ac:dyDescent="0.25">
      <c r="A84" s="70">
        <v>1209</v>
      </c>
      <c r="B84" s="70">
        <v>2017</v>
      </c>
      <c r="C84" s="70" t="s">
        <v>65</v>
      </c>
      <c r="D84" s="70" t="s">
        <v>97</v>
      </c>
      <c r="E84" s="70" t="s">
        <v>161</v>
      </c>
      <c r="F84" s="70">
        <v>6089</v>
      </c>
      <c r="G84" s="70" t="s">
        <v>244</v>
      </c>
      <c r="H84" s="71">
        <v>0</v>
      </c>
      <c r="I84" s="71">
        <v>0</v>
      </c>
      <c r="J84" s="71">
        <v>0</v>
      </c>
      <c r="K84" s="71">
        <v>0</v>
      </c>
      <c r="L84" s="71">
        <v>0</v>
      </c>
      <c r="M84" s="71">
        <v>0</v>
      </c>
      <c r="N84" s="71">
        <v>0</v>
      </c>
      <c r="O84" s="71">
        <v>0</v>
      </c>
      <c r="P84" s="71">
        <v>0</v>
      </c>
      <c r="Q84" s="71">
        <v>0</v>
      </c>
      <c r="R84" s="71">
        <v>0</v>
      </c>
      <c r="S84" s="71">
        <v>12</v>
      </c>
      <c r="T84" s="68">
        <f t="shared" si="10"/>
        <v>12</v>
      </c>
      <c r="U84" s="71">
        <v>12</v>
      </c>
      <c r="V84" s="33">
        <f t="shared" si="11"/>
        <v>1</v>
      </c>
      <c r="W84" s="69">
        <f t="shared" si="12"/>
        <v>56808</v>
      </c>
      <c r="X84" s="69">
        <f t="shared" si="13"/>
        <v>56808</v>
      </c>
      <c r="Y84" s="70" t="s">
        <v>188</v>
      </c>
      <c r="Z84" s="72">
        <v>4734</v>
      </c>
      <c r="AA84" s="70" t="s">
        <v>245</v>
      </c>
      <c r="AB84" s="68">
        <f t="shared" si="14"/>
        <v>0</v>
      </c>
      <c r="AC84" s="73">
        <v>43070</v>
      </c>
      <c r="AD84" s="73">
        <v>43091</v>
      </c>
      <c r="AE84" s="70" t="s">
        <v>57</v>
      </c>
      <c r="AF84" s="71">
        <v>0</v>
      </c>
      <c r="AG84" s="71">
        <v>0</v>
      </c>
      <c r="AH84" s="32">
        <f t="shared" si="15"/>
        <v>12</v>
      </c>
      <c r="AI84" s="71">
        <v>12</v>
      </c>
      <c r="AJ84" s="33">
        <f t="shared" si="16"/>
        <v>1</v>
      </c>
      <c r="AK84" s="69">
        <f t="shared" si="17"/>
        <v>56808</v>
      </c>
      <c r="AL84" s="69">
        <f t="shared" si="18"/>
        <v>56808</v>
      </c>
      <c r="AM84" s="70" t="s">
        <v>99</v>
      </c>
      <c r="AN84" s="70" t="s">
        <v>82</v>
      </c>
      <c r="AO84" s="70" t="s">
        <v>85</v>
      </c>
    </row>
    <row r="85" spans="1:41" x14ac:dyDescent="0.25">
      <c r="A85" s="70">
        <v>1017</v>
      </c>
      <c r="B85" s="70">
        <v>2017</v>
      </c>
      <c r="C85" s="70" t="s">
        <v>65</v>
      </c>
      <c r="D85" s="70" t="s">
        <v>97</v>
      </c>
      <c r="E85" s="70" t="s">
        <v>246</v>
      </c>
      <c r="F85" s="70">
        <v>5632</v>
      </c>
      <c r="G85" s="70" t="s">
        <v>212</v>
      </c>
      <c r="H85" s="71">
        <v>0</v>
      </c>
      <c r="I85" s="71">
        <v>0</v>
      </c>
      <c r="J85" s="71">
        <v>0</v>
      </c>
      <c r="K85" s="71">
        <v>0</v>
      </c>
      <c r="L85" s="71">
        <v>0</v>
      </c>
      <c r="M85" s="71">
        <v>0</v>
      </c>
      <c r="N85" s="71">
        <v>0</v>
      </c>
      <c r="O85" s="71">
        <v>0</v>
      </c>
      <c r="P85" s="71">
        <v>0</v>
      </c>
      <c r="Q85" s="71">
        <v>3</v>
      </c>
      <c r="R85" s="71">
        <v>0</v>
      </c>
      <c r="S85" s="71">
        <v>0</v>
      </c>
      <c r="T85" s="68">
        <f t="shared" si="10"/>
        <v>3</v>
      </c>
      <c r="U85" s="71">
        <v>3</v>
      </c>
      <c r="V85" s="33">
        <f t="shared" si="11"/>
        <v>1</v>
      </c>
      <c r="W85" s="69">
        <f t="shared" si="12"/>
        <v>13284</v>
      </c>
      <c r="X85" s="69">
        <f t="shared" si="13"/>
        <v>13284</v>
      </c>
      <c r="Y85" s="70" t="s">
        <v>188</v>
      </c>
      <c r="Z85" s="72">
        <v>4428</v>
      </c>
      <c r="AA85" s="70" t="s">
        <v>162</v>
      </c>
      <c r="AB85" s="68">
        <f t="shared" si="14"/>
        <v>0</v>
      </c>
      <c r="AC85" s="73">
        <v>43020</v>
      </c>
      <c r="AD85" s="73">
        <v>43049</v>
      </c>
      <c r="AE85" s="70" t="s">
        <v>57</v>
      </c>
      <c r="AF85" s="71">
        <v>0</v>
      </c>
      <c r="AG85" s="71">
        <v>0</v>
      </c>
      <c r="AH85" s="32">
        <f t="shared" si="15"/>
        <v>3</v>
      </c>
      <c r="AI85" s="71">
        <v>3</v>
      </c>
      <c r="AJ85" s="33">
        <f t="shared" si="16"/>
        <v>1</v>
      </c>
      <c r="AK85" s="69">
        <f t="shared" si="17"/>
        <v>13284</v>
      </c>
      <c r="AL85" s="69">
        <f t="shared" si="18"/>
        <v>13284</v>
      </c>
      <c r="AM85" s="70" t="s">
        <v>99</v>
      </c>
      <c r="AN85" s="70" t="s">
        <v>82</v>
      </c>
      <c r="AO85" s="70" t="s">
        <v>85</v>
      </c>
    </row>
    <row r="86" spans="1:41" x14ac:dyDescent="0.25">
      <c r="A86" s="70">
        <v>1176</v>
      </c>
      <c r="B86" s="70">
        <v>2017</v>
      </c>
      <c r="C86" s="70" t="s">
        <v>65</v>
      </c>
      <c r="D86" s="70" t="s">
        <v>97</v>
      </c>
      <c r="E86" s="70" t="s">
        <v>246</v>
      </c>
      <c r="F86" s="70">
        <v>6089</v>
      </c>
      <c r="G86" s="70" t="s">
        <v>220</v>
      </c>
      <c r="H86" s="71">
        <v>0</v>
      </c>
      <c r="I86" s="71">
        <v>0</v>
      </c>
      <c r="J86" s="71">
        <v>0</v>
      </c>
      <c r="K86" s="71">
        <v>0</v>
      </c>
      <c r="L86" s="71">
        <v>0</v>
      </c>
      <c r="M86" s="71">
        <v>0</v>
      </c>
      <c r="N86" s="71">
        <v>0</v>
      </c>
      <c r="O86" s="71">
        <v>0</v>
      </c>
      <c r="P86" s="71">
        <v>8</v>
      </c>
      <c r="Q86" s="71">
        <v>0</v>
      </c>
      <c r="R86" s="71">
        <v>0</v>
      </c>
      <c r="S86" s="71">
        <v>0</v>
      </c>
      <c r="T86" s="68">
        <f t="shared" si="10"/>
        <v>8</v>
      </c>
      <c r="U86" s="71">
        <v>8</v>
      </c>
      <c r="V86" s="33">
        <f t="shared" si="11"/>
        <v>1</v>
      </c>
      <c r="W86" s="69">
        <f t="shared" si="12"/>
        <v>37872</v>
      </c>
      <c r="X86" s="69">
        <f t="shared" si="13"/>
        <v>37872</v>
      </c>
      <c r="Y86" s="70" t="s">
        <v>188</v>
      </c>
      <c r="Z86" s="72">
        <v>4734</v>
      </c>
      <c r="AA86" s="70" t="s">
        <v>247</v>
      </c>
      <c r="AB86" s="68">
        <f t="shared" si="14"/>
        <v>0</v>
      </c>
      <c r="AC86" s="73">
        <v>42982</v>
      </c>
      <c r="AD86" s="73">
        <v>43012</v>
      </c>
      <c r="AE86" s="70" t="s">
        <v>57</v>
      </c>
      <c r="AF86" s="71">
        <v>0</v>
      </c>
      <c r="AG86" s="71">
        <v>0</v>
      </c>
      <c r="AH86" s="32">
        <f t="shared" si="15"/>
        <v>8</v>
      </c>
      <c r="AI86" s="71">
        <v>8</v>
      </c>
      <c r="AJ86" s="33">
        <f t="shared" si="16"/>
        <v>1</v>
      </c>
      <c r="AK86" s="69">
        <f t="shared" si="17"/>
        <v>37872</v>
      </c>
      <c r="AL86" s="69">
        <f t="shared" si="18"/>
        <v>37872</v>
      </c>
      <c r="AM86" s="70" t="s">
        <v>99</v>
      </c>
      <c r="AN86" s="70" t="s">
        <v>82</v>
      </c>
      <c r="AO86" s="70" t="s">
        <v>85</v>
      </c>
    </row>
    <row r="87" spans="1:41" x14ac:dyDescent="0.25">
      <c r="A87" s="70">
        <v>52361</v>
      </c>
      <c r="B87" s="70">
        <v>2017</v>
      </c>
      <c r="C87" s="70" t="s">
        <v>65</v>
      </c>
      <c r="D87" s="70" t="s">
        <v>97</v>
      </c>
      <c r="E87" s="70" t="s">
        <v>246</v>
      </c>
      <c r="F87" s="70">
        <v>6089</v>
      </c>
      <c r="G87" s="70" t="s">
        <v>220</v>
      </c>
      <c r="H87" s="71">
        <v>0</v>
      </c>
      <c r="I87" s="71">
        <v>0</v>
      </c>
      <c r="J87" s="71">
        <v>0</v>
      </c>
      <c r="K87" s="71">
        <v>8</v>
      </c>
      <c r="L87" s="71">
        <v>0</v>
      </c>
      <c r="M87" s="71">
        <v>0</v>
      </c>
      <c r="N87" s="71">
        <v>0</v>
      </c>
      <c r="O87" s="71">
        <v>0</v>
      </c>
      <c r="P87" s="71">
        <v>0</v>
      </c>
      <c r="Q87" s="71">
        <v>0</v>
      </c>
      <c r="R87" s="71">
        <v>0</v>
      </c>
      <c r="S87" s="71">
        <v>0</v>
      </c>
      <c r="T87" s="68">
        <f t="shared" si="10"/>
        <v>8</v>
      </c>
      <c r="U87" s="71">
        <v>8</v>
      </c>
      <c r="V87" s="33">
        <f t="shared" si="11"/>
        <v>1</v>
      </c>
      <c r="W87" s="69">
        <f t="shared" si="12"/>
        <v>37872</v>
      </c>
      <c r="X87" s="69">
        <f t="shared" si="13"/>
        <v>37872</v>
      </c>
      <c r="Y87" s="70" t="s">
        <v>188</v>
      </c>
      <c r="Z87" s="72">
        <v>4734</v>
      </c>
      <c r="AA87" s="70" t="s">
        <v>248</v>
      </c>
      <c r="AB87" s="68">
        <f t="shared" si="14"/>
        <v>0</v>
      </c>
      <c r="AC87" s="73">
        <v>42811</v>
      </c>
      <c r="AD87" s="73">
        <v>42842</v>
      </c>
      <c r="AE87" s="70" t="s">
        <v>57</v>
      </c>
      <c r="AF87" s="71">
        <v>0</v>
      </c>
      <c r="AG87" s="71">
        <v>0</v>
      </c>
      <c r="AH87" s="32">
        <f t="shared" si="15"/>
        <v>8</v>
      </c>
      <c r="AI87" s="71">
        <v>8</v>
      </c>
      <c r="AJ87" s="33">
        <f t="shared" si="16"/>
        <v>1</v>
      </c>
      <c r="AK87" s="69">
        <f t="shared" si="17"/>
        <v>37872</v>
      </c>
      <c r="AL87" s="69">
        <f t="shared" si="18"/>
        <v>37872</v>
      </c>
      <c r="AM87" s="70" t="s">
        <v>99</v>
      </c>
      <c r="AN87" s="70" t="s">
        <v>82</v>
      </c>
      <c r="AO87" s="70" t="s">
        <v>85</v>
      </c>
    </row>
    <row r="88" spans="1:41" x14ac:dyDescent="0.25">
      <c r="A88" s="70">
        <v>52420</v>
      </c>
      <c r="B88" s="70">
        <v>2017</v>
      </c>
      <c r="C88" s="70" t="s">
        <v>65</v>
      </c>
      <c r="D88" s="70" t="s">
        <v>97</v>
      </c>
      <c r="E88" s="70" t="s">
        <v>246</v>
      </c>
      <c r="F88" s="70">
        <v>6089</v>
      </c>
      <c r="G88" s="70" t="s">
        <v>220</v>
      </c>
      <c r="H88" s="71">
        <v>0</v>
      </c>
      <c r="I88" s="71">
        <v>0</v>
      </c>
      <c r="J88" s="71">
        <v>8</v>
      </c>
      <c r="K88" s="71">
        <v>0</v>
      </c>
      <c r="L88" s="71">
        <v>0</v>
      </c>
      <c r="M88" s="71">
        <v>0</v>
      </c>
      <c r="N88" s="71">
        <v>0</v>
      </c>
      <c r="O88" s="71">
        <v>0</v>
      </c>
      <c r="P88" s="71">
        <v>0</v>
      </c>
      <c r="Q88" s="71">
        <v>0</v>
      </c>
      <c r="R88" s="71">
        <v>0</v>
      </c>
      <c r="S88" s="71">
        <v>0</v>
      </c>
      <c r="T88" s="68">
        <f t="shared" si="10"/>
        <v>8</v>
      </c>
      <c r="U88" s="71">
        <v>8</v>
      </c>
      <c r="V88" s="33">
        <f t="shared" si="11"/>
        <v>1</v>
      </c>
      <c r="W88" s="69">
        <f t="shared" si="12"/>
        <v>37872</v>
      </c>
      <c r="X88" s="69">
        <f t="shared" si="13"/>
        <v>37872</v>
      </c>
      <c r="Y88" s="70" t="s">
        <v>188</v>
      </c>
      <c r="Z88" s="72">
        <v>4734</v>
      </c>
      <c r="AA88" s="70" t="s">
        <v>249</v>
      </c>
      <c r="AB88" s="68">
        <f t="shared" si="14"/>
        <v>0</v>
      </c>
      <c r="AC88" s="73">
        <v>42816</v>
      </c>
      <c r="AD88" s="73">
        <v>42847</v>
      </c>
      <c r="AE88" s="70" t="s">
        <v>57</v>
      </c>
      <c r="AF88" s="71">
        <v>0</v>
      </c>
      <c r="AG88" s="71">
        <v>0</v>
      </c>
      <c r="AH88" s="32">
        <f t="shared" si="15"/>
        <v>8</v>
      </c>
      <c r="AI88" s="71">
        <v>8</v>
      </c>
      <c r="AJ88" s="33">
        <f t="shared" si="16"/>
        <v>1</v>
      </c>
      <c r="AK88" s="69">
        <f t="shared" si="17"/>
        <v>37872</v>
      </c>
      <c r="AL88" s="69">
        <f t="shared" si="18"/>
        <v>37872</v>
      </c>
      <c r="AM88" s="70" t="s">
        <v>99</v>
      </c>
      <c r="AN88" s="70" t="s">
        <v>82</v>
      </c>
      <c r="AO88" s="70" t="s">
        <v>85</v>
      </c>
    </row>
    <row r="89" spans="1:41" x14ac:dyDescent="0.25">
      <c r="A89" s="70">
        <v>970</v>
      </c>
      <c r="B89" s="70">
        <v>2017</v>
      </c>
      <c r="C89" s="70" t="s">
        <v>65</v>
      </c>
      <c r="D89" s="70" t="s">
        <v>97</v>
      </c>
      <c r="E89" s="70" t="s">
        <v>246</v>
      </c>
      <c r="F89" s="70">
        <v>6089</v>
      </c>
      <c r="G89" s="70" t="s">
        <v>244</v>
      </c>
      <c r="H89" s="71">
        <v>0</v>
      </c>
      <c r="I89" s="71">
        <v>0</v>
      </c>
      <c r="J89" s="71">
        <v>0</v>
      </c>
      <c r="K89" s="71">
        <v>0</v>
      </c>
      <c r="L89" s="71">
        <v>0</v>
      </c>
      <c r="M89" s="71">
        <v>0</v>
      </c>
      <c r="N89" s="71">
        <v>0</v>
      </c>
      <c r="O89" s="71">
        <v>0</v>
      </c>
      <c r="P89" s="71">
        <v>0</v>
      </c>
      <c r="Q89" s="71">
        <v>12</v>
      </c>
      <c r="R89" s="71">
        <v>0</v>
      </c>
      <c r="S89" s="71">
        <v>0</v>
      </c>
      <c r="T89" s="68">
        <f t="shared" si="10"/>
        <v>12</v>
      </c>
      <c r="U89" s="71">
        <v>12</v>
      </c>
      <c r="V89" s="33">
        <f t="shared" si="11"/>
        <v>1</v>
      </c>
      <c r="W89" s="69">
        <f t="shared" si="12"/>
        <v>56808</v>
      </c>
      <c r="X89" s="69">
        <f t="shared" si="13"/>
        <v>56808</v>
      </c>
      <c r="Y89" s="70" t="s">
        <v>188</v>
      </c>
      <c r="Z89" s="72">
        <v>4734</v>
      </c>
      <c r="AA89" s="70" t="s">
        <v>250</v>
      </c>
      <c r="AB89" s="68">
        <f t="shared" si="14"/>
        <v>0</v>
      </c>
      <c r="AC89" s="73">
        <v>43003</v>
      </c>
      <c r="AD89" s="73">
        <v>43033</v>
      </c>
      <c r="AE89" s="70" t="s">
        <v>57</v>
      </c>
      <c r="AF89" s="71">
        <v>0</v>
      </c>
      <c r="AG89" s="71">
        <v>0</v>
      </c>
      <c r="AH89" s="32">
        <f t="shared" si="15"/>
        <v>12</v>
      </c>
      <c r="AI89" s="71">
        <v>12</v>
      </c>
      <c r="AJ89" s="33">
        <f t="shared" si="16"/>
        <v>1</v>
      </c>
      <c r="AK89" s="69">
        <f t="shared" si="17"/>
        <v>56808</v>
      </c>
      <c r="AL89" s="69">
        <f t="shared" si="18"/>
        <v>56808</v>
      </c>
      <c r="AM89" s="70" t="s">
        <v>99</v>
      </c>
      <c r="AN89" s="70" t="s">
        <v>82</v>
      </c>
      <c r="AO89" s="70" t="s">
        <v>85</v>
      </c>
    </row>
    <row r="90" spans="1:41" x14ac:dyDescent="0.25">
      <c r="A90" s="70">
        <v>1154</v>
      </c>
      <c r="B90" s="70">
        <v>2017</v>
      </c>
      <c r="C90" s="70" t="s">
        <v>65</v>
      </c>
      <c r="D90" s="70" t="s">
        <v>97</v>
      </c>
      <c r="E90" s="70" t="s">
        <v>98</v>
      </c>
      <c r="F90" s="70">
        <v>5632</v>
      </c>
      <c r="G90" s="70" t="s">
        <v>212</v>
      </c>
      <c r="H90" s="71">
        <v>0</v>
      </c>
      <c r="I90" s="71">
        <v>0</v>
      </c>
      <c r="J90" s="71">
        <v>0</v>
      </c>
      <c r="K90" s="71">
        <v>0</v>
      </c>
      <c r="L90" s="71">
        <v>0</v>
      </c>
      <c r="M90" s="71">
        <v>0</v>
      </c>
      <c r="N90" s="71">
        <v>0</v>
      </c>
      <c r="O90" s="71">
        <v>0</v>
      </c>
      <c r="P90" s="71">
        <v>0</v>
      </c>
      <c r="Q90" s="71">
        <v>0</v>
      </c>
      <c r="R90" s="71">
        <v>0</v>
      </c>
      <c r="S90" s="71">
        <v>3</v>
      </c>
      <c r="T90" s="68">
        <f t="shared" si="10"/>
        <v>3</v>
      </c>
      <c r="U90" s="71">
        <v>3</v>
      </c>
      <c r="V90" s="33">
        <f t="shared" si="11"/>
        <v>1</v>
      </c>
      <c r="W90" s="69">
        <f t="shared" si="12"/>
        <v>13284</v>
      </c>
      <c r="X90" s="69">
        <f t="shared" si="13"/>
        <v>13284</v>
      </c>
      <c r="Y90" s="70" t="s">
        <v>188</v>
      </c>
      <c r="Z90" s="72">
        <v>4428</v>
      </c>
      <c r="AA90" s="70" t="s">
        <v>251</v>
      </c>
      <c r="AB90" s="68">
        <f t="shared" si="14"/>
        <v>0</v>
      </c>
      <c r="AC90" s="73">
        <v>43068</v>
      </c>
      <c r="AD90" s="73">
        <v>43079</v>
      </c>
      <c r="AE90" s="70" t="s">
        <v>57</v>
      </c>
      <c r="AF90" s="71">
        <v>0</v>
      </c>
      <c r="AG90" s="71">
        <v>0</v>
      </c>
      <c r="AH90" s="32">
        <f t="shared" si="15"/>
        <v>3</v>
      </c>
      <c r="AI90" s="71">
        <v>3</v>
      </c>
      <c r="AJ90" s="33">
        <f t="shared" si="16"/>
        <v>1</v>
      </c>
      <c r="AK90" s="69">
        <f t="shared" si="17"/>
        <v>13284</v>
      </c>
      <c r="AL90" s="69">
        <f t="shared" si="18"/>
        <v>13284</v>
      </c>
      <c r="AM90" s="70" t="s">
        <v>99</v>
      </c>
      <c r="AN90" s="70" t="s">
        <v>82</v>
      </c>
      <c r="AO90" s="70" t="s">
        <v>85</v>
      </c>
    </row>
    <row r="91" spans="1:41" x14ac:dyDescent="0.25">
      <c r="A91" s="70">
        <v>51482</v>
      </c>
      <c r="B91" s="70">
        <v>2017</v>
      </c>
      <c r="C91" s="70" t="s">
        <v>65</v>
      </c>
      <c r="D91" s="70" t="s">
        <v>97</v>
      </c>
      <c r="E91" s="70" t="s">
        <v>98</v>
      </c>
      <c r="F91" s="70">
        <v>5632</v>
      </c>
      <c r="G91" s="70" t="s">
        <v>212</v>
      </c>
      <c r="H91" s="71">
        <v>0</v>
      </c>
      <c r="I91" s="71">
        <v>3</v>
      </c>
      <c r="J91" s="71">
        <v>0</v>
      </c>
      <c r="K91" s="71">
        <v>0</v>
      </c>
      <c r="L91" s="71">
        <v>0</v>
      </c>
      <c r="M91" s="71">
        <v>0</v>
      </c>
      <c r="N91" s="71">
        <v>0</v>
      </c>
      <c r="O91" s="71">
        <v>0</v>
      </c>
      <c r="P91" s="71">
        <v>0</v>
      </c>
      <c r="Q91" s="71">
        <v>0</v>
      </c>
      <c r="R91" s="71">
        <v>0</v>
      </c>
      <c r="S91" s="71">
        <v>0</v>
      </c>
      <c r="T91" s="68">
        <f t="shared" si="10"/>
        <v>3</v>
      </c>
      <c r="U91" s="71">
        <v>3</v>
      </c>
      <c r="V91" s="33">
        <f t="shared" si="11"/>
        <v>1</v>
      </c>
      <c r="W91" s="69">
        <f t="shared" si="12"/>
        <v>13284</v>
      </c>
      <c r="X91" s="69">
        <f t="shared" si="13"/>
        <v>13284</v>
      </c>
      <c r="Y91" s="70" t="s">
        <v>188</v>
      </c>
      <c r="Z91" s="72">
        <v>4428</v>
      </c>
      <c r="AA91" s="70" t="s">
        <v>252</v>
      </c>
      <c r="AB91" s="68">
        <f t="shared" si="14"/>
        <v>0</v>
      </c>
      <c r="AC91" s="73">
        <v>42775</v>
      </c>
      <c r="AD91" s="73">
        <v>42803</v>
      </c>
      <c r="AE91" s="70" t="s">
        <v>57</v>
      </c>
      <c r="AF91" s="71">
        <v>0</v>
      </c>
      <c r="AG91" s="71">
        <v>0</v>
      </c>
      <c r="AH91" s="32">
        <f t="shared" si="15"/>
        <v>3</v>
      </c>
      <c r="AI91" s="71">
        <v>3</v>
      </c>
      <c r="AJ91" s="33">
        <f t="shared" si="16"/>
        <v>1</v>
      </c>
      <c r="AK91" s="69">
        <f t="shared" si="17"/>
        <v>13284</v>
      </c>
      <c r="AL91" s="69">
        <f t="shared" si="18"/>
        <v>13284</v>
      </c>
      <c r="AM91" s="70" t="s">
        <v>99</v>
      </c>
      <c r="AN91" s="70" t="s">
        <v>82</v>
      </c>
      <c r="AO91" s="70" t="s">
        <v>85</v>
      </c>
    </row>
    <row r="92" spans="1:41" x14ac:dyDescent="0.25">
      <c r="A92" s="70">
        <v>54152</v>
      </c>
      <c r="B92" s="70">
        <v>2017</v>
      </c>
      <c r="C92" s="70" t="s">
        <v>65</v>
      </c>
      <c r="D92" s="70" t="s">
        <v>97</v>
      </c>
      <c r="E92" s="70" t="s">
        <v>98</v>
      </c>
      <c r="F92" s="70">
        <v>5632</v>
      </c>
      <c r="G92" s="70" t="s">
        <v>212</v>
      </c>
      <c r="H92" s="71">
        <v>0</v>
      </c>
      <c r="I92" s="71">
        <v>0</v>
      </c>
      <c r="J92" s="71">
        <v>0</v>
      </c>
      <c r="K92" s="71">
        <v>0</v>
      </c>
      <c r="L92" s="71">
        <v>0</v>
      </c>
      <c r="M92" s="71">
        <v>0</v>
      </c>
      <c r="N92" s="71">
        <v>0</v>
      </c>
      <c r="O92" s="71">
        <v>0</v>
      </c>
      <c r="P92" s="71">
        <v>3</v>
      </c>
      <c r="Q92" s="71">
        <v>0</v>
      </c>
      <c r="R92" s="71">
        <v>0</v>
      </c>
      <c r="S92" s="71">
        <v>0</v>
      </c>
      <c r="T92" s="68">
        <f t="shared" si="10"/>
        <v>3</v>
      </c>
      <c r="U92" s="71">
        <v>3</v>
      </c>
      <c r="V92" s="33">
        <f t="shared" si="11"/>
        <v>1</v>
      </c>
      <c r="W92" s="69">
        <f t="shared" si="12"/>
        <v>13284</v>
      </c>
      <c r="X92" s="69">
        <f t="shared" si="13"/>
        <v>13284</v>
      </c>
      <c r="Y92" s="70" t="s">
        <v>188</v>
      </c>
      <c r="Z92" s="72">
        <v>4428</v>
      </c>
      <c r="AA92" s="70" t="s">
        <v>253</v>
      </c>
      <c r="AB92" s="68">
        <f t="shared" si="14"/>
        <v>0</v>
      </c>
      <c r="AC92" s="73">
        <v>42993</v>
      </c>
      <c r="AD92" s="73">
        <v>43023</v>
      </c>
      <c r="AE92" s="70" t="s">
        <v>57</v>
      </c>
      <c r="AF92" s="71">
        <v>0</v>
      </c>
      <c r="AG92" s="71">
        <v>0</v>
      </c>
      <c r="AH92" s="32">
        <f t="shared" si="15"/>
        <v>3</v>
      </c>
      <c r="AI92" s="71">
        <v>3</v>
      </c>
      <c r="AJ92" s="33">
        <f t="shared" si="16"/>
        <v>1</v>
      </c>
      <c r="AK92" s="69">
        <f t="shared" si="17"/>
        <v>13284</v>
      </c>
      <c r="AL92" s="69">
        <f t="shared" si="18"/>
        <v>13284</v>
      </c>
      <c r="AM92" s="70" t="s">
        <v>99</v>
      </c>
      <c r="AN92" s="70" t="s">
        <v>82</v>
      </c>
      <c r="AO92" s="70" t="s">
        <v>85</v>
      </c>
    </row>
    <row r="93" spans="1:41" x14ac:dyDescent="0.25">
      <c r="A93" s="70">
        <v>53071</v>
      </c>
      <c r="B93" s="70">
        <v>2017</v>
      </c>
      <c r="C93" s="70" t="s">
        <v>65</v>
      </c>
      <c r="D93" s="70" t="s">
        <v>97</v>
      </c>
      <c r="E93" s="70" t="s">
        <v>98</v>
      </c>
      <c r="F93" s="70">
        <v>6086</v>
      </c>
      <c r="G93" s="70" t="s">
        <v>214</v>
      </c>
      <c r="H93" s="71">
        <v>0</v>
      </c>
      <c r="I93" s="71">
        <v>0</v>
      </c>
      <c r="J93" s="71">
        <v>0</v>
      </c>
      <c r="K93" s="71">
        <v>0</v>
      </c>
      <c r="L93" s="71">
        <v>6</v>
      </c>
      <c r="M93" s="71">
        <v>0</v>
      </c>
      <c r="N93" s="71">
        <v>0</v>
      </c>
      <c r="O93" s="71">
        <v>0</v>
      </c>
      <c r="P93" s="71">
        <v>0</v>
      </c>
      <c r="Q93" s="71">
        <v>0</v>
      </c>
      <c r="R93" s="71">
        <v>0</v>
      </c>
      <c r="S93" s="71">
        <v>0</v>
      </c>
      <c r="T93" s="68">
        <f t="shared" si="10"/>
        <v>6</v>
      </c>
      <c r="U93" s="71">
        <v>6</v>
      </c>
      <c r="V93" s="33">
        <f t="shared" si="11"/>
        <v>1</v>
      </c>
      <c r="W93" s="69">
        <f t="shared" si="12"/>
        <v>110007.42</v>
      </c>
      <c r="X93" s="69">
        <f t="shared" si="13"/>
        <v>110007.42</v>
      </c>
      <c r="Y93" s="70" t="s">
        <v>188</v>
      </c>
      <c r="Z93" s="72">
        <v>18334.57</v>
      </c>
      <c r="AA93" s="70" t="s">
        <v>254</v>
      </c>
      <c r="AB93" s="68">
        <f t="shared" si="14"/>
        <v>0</v>
      </c>
      <c r="AC93" s="73">
        <v>42872</v>
      </c>
      <c r="AD93" s="73">
        <v>42903</v>
      </c>
      <c r="AE93" s="70" t="s">
        <v>57</v>
      </c>
      <c r="AF93" s="71">
        <v>0</v>
      </c>
      <c r="AG93" s="71">
        <v>0</v>
      </c>
      <c r="AH93" s="32">
        <f t="shared" si="15"/>
        <v>6</v>
      </c>
      <c r="AI93" s="71">
        <v>6</v>
      </c>
      <c r="AJ93" s="33">
        <f t="shared" si="16"/>
        <v>1</v>
      </c>
      <c r="AK93" s="69">
        <f t="shared" si="17"/>
        <v>110007.42</v>
      </c>
      <c r="AL93" s="69">
        <f t="shared" si="18"/>
        <v>110007.42</v>
      </c>
      <c r="AM93" s="70" t="s">
        <v>99</v>
      </c>
      <c r="AN93" s="70" t="s">
        <v>82</v>
      </c>
      <c r="AO93" s="70" t="s">
        <v>85</v>
      </c>
    </row>
    <row r="94" spans="1:41" x14ac:dyDescent="0.25">
      <c r="A94" s="70">
        <v>53522</v>
      </c>
      <c r="B94" s="70">
        <v>2017</v>
      </c>
      <c r="C94" s="70" t="s">
        <v>65</v>
      </c>
      <c r="D94" s="70" t="s">
        <v>97</v>
      </c>
      <c r="E94" s="70" t="s">
        <v>98</v>
      </c>
      <c r="F94" s="70">
        <v>6086</v>
      </c>
      <c r="G94" s="70" t="s">
        <v>214</v>
      </c>
      <c r="H94" s="71">
        <v>0</v>
      </c>
      <c r="I94" s="71">
        <v>0</v>
      </c>
      <c r="J94" s="71">
        <v>0</v>
      </c>
      <c r="K94" s="71">
        <v>0</v>
      </c>
      <c r="L94" s="71">
        <v>0</v>
      </c>
      <c r="M94" s="71">
        <v>0</v>
      </c>
      <c r="N94" s="71">
        <v>6</v>
      </c>
      <c r="O94" s="71">
        <v>0</v>
      </c>
      <c r="P94" s="71">
        <v>0</v>
      </c>
      <c r="Q94" s="71">
        <v>0</v>
      </c>
      <c r="R94" s="71">
        <v>0</v>
      </c>
      <c r="S94" s="71">
        <v>0</v>
      </c>
      <c r="T94" s="68">
        <f t="shared" si="10"/>
        <v>6</v>
      </c>
      <c r="U94" s="71">
        <v>6</v>
      </c>
      <c r="V94" s="33">
        <f t="shared" si="11"/>
        <v>1</v>
      </c>
      <c r="W94" s="69">
        <f t="shared" si="12"/>
        <v>110007.42</v>
      </c>
      <c r="X94" s="69">
        <f t="shared" si="13"/>
        <v>110007.42</v>
      </c>
      <c r="Y94" s="70" t="s">
        <v>188</v>
      </c>
      <c r="Z94" s="72">
        <v>18334.57</v>
      </c>
      <c r="AA94" s="70" t="s">
        <v>255</v>
      </c>
      <c r="AB94" s="68">
        <f t="shared" si="14"/>
        <v>0</v>
      </c>
      <c r="AC94" s="73">
        <v>42926</v>
      </c>
      <c r="AD94" s="73">
        <v>42957</v>
      </c>
      <c r="AE94" s="70" t="s">
        <v>57</v>
      </c>
      <c r="AF94" s="71">
        <v>0</v>
      </c>
      <c r="AG94" s="71">
        <v>0</v>
      </c>
      <c r="AH94" s="32">
        <f t="shared" si="15"/>
        <v>6</v>
      </c>
      <c r="AI94" s="71">
        <v>6</v>
      </c>
      <c r="AJ94" s="33">
        <f t="shared" si="16"/>
        <v>1</v>
      </c>
      <c r="AK94" s="69">
        <f t="shared" si="17"/>
        <v>110007.42</v>
      </c>
      <c r="AL94" s="69">
        <f t="shared" si="18"/>
        <v>110007.42</v>
      </c>
      <c r="AM94" s="70" t="s">
        <v>99</v>
      </c>
      <c r="AN94" s="70" t="s">
        <v>82</v>
      </c>
      <c r="AO94" s="70" t="s">
        <v>85</v>
      </c>
    </row>
    <row r="95" spans="1:41" x14ac:dyDescent="0.25">
      <c r="A95" s="70">
        <v>53782</v>
      </c>
      <c r="B95" s="70">
        <v>2017</v>
      </c>
      <c r="C95" s="70" t="s">
        <v>65</v>
      </c>
      <c r="D95" s="70" t="s">
        <v>97</v>
      </c>
      <c r="E95" s="70" t="s">
        <v>98</v>
      </c>
      <c r="F95" s="70">
        <v>6086</v>
      </c>
      <c r="G95" s="70" t="s">
        <v>214</v>
      </c>
      <c r="H95" s="71">
        <v>0</v>
      </c>
      <c r="I95" s="71">
        <v>0</v>
      </c>
      <c r="J95" s="71">
        <v>0</v>
      </c>
      <c r="K95" s="71">
        <v>0</v>
      </c>
      <c r="L95" s="71">
        <v>0</v>
      </c>
      <c r="M95" s="71">
        <v>0</v>
      </c>
      <c r="N95" s="71">
        <v>0</v>
      </c>
      <c r="O95" s="71">
        <v>6</v>
      </c>
      <c r="P95" s="71">
        <v>0</v>
      </c>
      <c r="Q95" s="71">
        <v>0</v>
      </c>
      <c r="R95" s="71">
        <v>0</v>
      </c>
      <c r="S95" s="71">
        <v>0</v>
      </c>
      <c r="T95" s="68">
        <f t="shared" si="10"/>
        <v>6</v>
      </c>
      <c r="U95" s="71">
        <v>6</v>
      </c>
      <c r="V95" s="33">
        <f t="shared" si="11"/>
        <v>1</v>
      </c>
      <c r="W95" s="69">
        <f t="shared" si="12"/>
        <v>110007.42</v>
      </c>
      <c r="X95" s="69">
        <f t="shared" si="13"/>
        <v>110007.42</v>
      </c>
      <c r="Y95" s="70" t="s">
        <v>188</v>
      </c>
      <c r="Z95" s="72">
        <v>18334.57</v>
      </c>
      <c r="AA95" s="70" t="s">
        <v>256</v>
      </c>
      <c r="AB95" s="68">
        <f t="shared" si="14"/>
        <v>0</v>
      </c>
      <c r="AC95" s="73">
        <v>42956</v>
      </c>
      <c r="AD95" s="73">
        <v>42987</v>
      </c>
      <c r="AE95" s="70" t="s">
        <v>57</v>
      </c>
      <c r="AF95" s="71">
        <v>0</v>
      </c>
      <c r="AG95" s="71">
        <v>0</v>
      </c>
      <c r="AH95" s="32">
        <f t="shared" si="15"/>
        <v>6</v>
      </c>
      <c r="AI95" s="71">
        <v>6</v>
      </c>
      <c r="AJ95" s="33">
        <f t="shared" si="16"/>
        <v>1</v>
      </c>
      <c r="AK95" s="69">
        <f t="shared" si="17"/>
        <v>110007.42</v>
      </c>
      <c r="AL95" s="69">
        <f t="shared" si="18"/>
        <v>110007.42</v>
      </c>
      <c r="AM95" s="70" t="s">
        <v>99</v>
      </c>
      <c r="AN95" s="70" t="s">
        <v>82</v>
      </c>
      <c r="AO95" s="70" t="s">
        <v>85</v>
      </c>
    </row>
    <row r="96" spans="1:41" x14ac:dyDescent="0.25">
      <c r="A96" s="70">
        <v>51996</v>
      </c>
      <c r="B96" s="70">
        <v>2017</v>
      </c>
      <c r="C96" s="70" t="s">
        <v>65</v>
      </c>
      <c r="D96" s="70" t="s">
        <v>97</v>
      </c>
      <c r="E96" s="70" t="s">
        <v>98</v>
      </c>
      <c r="F96" s="70">
        <v>6089</v>
      </c>
      <c r="G96" s="70" t="s">
        <v>220</v>
      </c>
      <c r="H96" s="71">
        <v>0</v>
      </c>
      <c r="I96" s="71">
        <v>0</v>
      </c>
      <c r="J96" s="71">
        <v>10</v>
      </c>
      <c r="K96" s="71">
        <v>0</v>
      </c>
      <c r="L96" s="71">
        <v>0</v>
      </c>
      <c r="M96" s="71">
        <v>0</v>
      </c>
      <c r="N96" s="71">
        <v>0</v>
      </c>
      <c r="O96" s="71">
        <v>0</v>
      </c>
      <c r="P96" s="71">
        <v>0</v>
      </c>
      <c r="Q96" s="71">
        <v>0</v>
      </c>
      <c r="R96" s="71">
        <v>0</v>
      </c>
      <c r="S96" s="71">
        <v>0</v>
      </c>
      <c r="T96" s="68">
        <f t="shared" si="10"/>
        <v>10</v>
      </c>
      <c r="U96" s="71">
        <v>10</v>
      </c>
      <c r="V96" s="33">
        <f t="shared" si="11"/>
        <v>1</v>
      </c>
      <c r="W96" s="69">
        <f t="shared" si="12"/>
        <v>47340</v>
      </c>
      <c r="X96" s="69">
        <f t="shared" si="13"/>
        <v>47340</v>
      </c>
      <c r="Y96" s="70" t="s">
        <v>188</v>
      </c>
      <c r="Z96" s="72">
        <v>4734</v>
      </c>
      <c r="AA96" s="70" t="s">
        <v>163</v>
      </c>
      <c r="AB96" s="68">
        <f t="shared" si="14"/>
        <v>0</v>
      </c>
      <c r="AC96" s="73">
        <v>42790</v>
      </c>
      <c r="AD96" s="73">
        <v>42818</v>
      </c>
      <c r="AE96" s="70" t="s">
        <v>57</v>
      </c>
      <c r="AF96" s="71">
        <v>0</v>
      </c>
      <c r="AG96" s="71">
        <v>0</v>
      </c>
      <c r="AH96" s="32">
        <f t="shared" si="15"/>
        <v>10</v>
      </c>
      <c r="AI96" s="71">
        <v>10</v>
      </c>
      <c r="AJ96" s="33">
        <f t="shared" si="16"/>
        <v>1</v>
      </c>
      <c r="AK96" s="69">
        <f t="shared" si="17"/>
        <v>47340</v>
      </c>
      <c r="AL96" s="69">
        <f t="shared" si="18"/>
        <v>47340</v>
      </c>
      <c r="AM96" s="70" t="s">
        <v>99</v>
      </c>
      <c r="AN96" s="70" t="s">
        <v>82</v>
      </c>
      <c r="AO96" s="70" t="s">
        <v>85</v>
      </c>
    </row>
    <row r="97" spans="1:41" x14ac:dyDescent="0.25">
      <c r="A97" s="70">
        <v>960</v>
      </c>
      <c r="B97" s="70">
        <v>2017</v>
      </c>
      <c r="C97" s="70" t="s">
        <v>65</v>
      </c>
      <c r="D97" s="70" t="s">
        <v>97</v>
      </c>
      <c r="E97" s="70" t="s">
        <v>98</v>
      </c>
      <c r="F97" s="70">
        <v>6089</v>
      </c>
      <c r="G97" s="70" t="s">
        <v>244</v>
      </c>
      <c r="H97" s="71">
        <v>0</v>
      </c>
      <c r="I97" s="71">
        <v>0</v>
      </c>
      <c r="J97" s="71">
        <v>0</v>
      </c>
      <c r="K97" s="71">
        <v>0</v>
      </c>
      <c r="L97" s="71">
        <v>0</v>
      </c>
      <c r="M97" s="71">
        <v>0</v>
      </c>
      <c r="N97" s="71">
        <v>0</v>
      </c>
      <c r="O97" s="71">
        <v>0</v>
      </c>
      <c r="P97" s="71">
        <v>0</v>
      </c>
      <c r="Q97" s="71">
        <v>11</v>
      </c>
      <c r="R97" s="71">
        <v>0</v>
      </c>
      <c r="S97" s="71">
        <v>0</v>
      </c>
      <c r="T97" s="68">
        <f t="shared" si="10"/>
        <v>11</v>
      </c>
      <c r="U97" s="71">
        <v>11</v>
      </c>
      <c r="V97" s="33">
        <f t="shared" si="11"/>
        <v>1</v>
      </c>
      <c r="W97" s="69">
        <f t="shared" si="12"/>
        <v>52074</v>
      </c>
      <c r="X97" s="69">
        <f t="shared" si="13"/>
        <v>52074</v>
      </c>
      <c r="Y97" s="70" t="s">
        <v>188</v>
      </c>
      <c r="Z97" s="72">
        <v>4734</v>
      </c>
      <c r="AA97" s="70" t="s">
        <v>257</v>
      </c>
      <c r="AB97" s="68">
        <f t="shared" si="14"/>
        <v>0</v>
      </c>
      <c r="AC97" s="73">
        <v>43003</v>
      </c>
      <c r="AD97" s="73">
        <v>43033</v>
      </c>
      <c r="AE97" s="70" t="s">
        <v>57</v>
      </c>
      <c r="AF97" s="71">
        <v>0</v>
      </c>
      <c r="AG97" s="71">
        <v>0</v>
      </c>
      <c r="AH97" s="32">
        <f t="shared" si="15"/>
        <v>11</v>
      </c>
      <c r="AI97" s="71">
        <v>11</v>
      </c>
      <c r="AJ97" s="33">
        <f t="shared" si="16"/>
        <v>1</v>
      </c>
      <c r="AK97" s="69">
        <f t="shared" si="17"/>
        <v>52074</v>
      </c>
      <c r="AL97" s="69">
        <f t="shared" si="18"/>
        <v>52074</v>
      </c>
      <c r="AM97" s="70" t="s">
        <v>99</v>
      </c>
      <c r="AN97" s="70" t="s">
        <v>82</v>
      </c>
      <c r="AO97" s="70" t="s">
        <v>85</v>
      </c>
    </row>
    <row r="98" spans="1:41" x14ac:dyDescent="0.25">
      <c r="A98" s="70">
        <v>1197</v>
      </c>
      <c r="B98" s="70">
        <v>2017</v>
      </c>
      <c r="C98" s="70" t="s">
        <v>65</v>
      </c>
      <c r="D98" s="70" t="s">
        <v>97</v>
      </c>
      <c r="E98" s="70" t="s">
        <v>98</v>
      </c>
      <c r="F98" s="70">
        <v>6089</v>
      </c>
      <c r="G98" s="70" t="s">
        <v>244</v>
      </c>
      <c r="H98" s="71">
        <v>0</v>
      </c>
      <c r="I98" s="71">
        <v>0</v>
      </c>
      <c r="J98" s="71">
        <v>0</v>
      </c>
      <c r="K98" s="71">
        <v>0</v>
      </c>
      <c r="L98" s="71">
        <v>0</v>
      </c>
      <c r="M98" s="71">
        <v>0</v>
      </c>
      <c r="N98" s="71">
        <v>0</v>
      </c>
      <c r="O98" s="71">
        <v>0</v>
      </c>
      <c r="P98" s="71">
        <v>0</v>
      </c>
      <c r="Q98" s="71">
        <v>0</v>
      </c>
      <c r="R98" s="71">
        <v>0</v>
      </c>
      <c r="S98" s="71">
        <v>8</v>
      </c>
      <c r="T98" s="68">
        <f t="shared" si="10"/>
        <v>8</v>
      </c>
      <c r="U98" s="71">
        <v>8</v>
      </c>
      <c r="V98" s="33">
        <f t="shared" si="11"/>
        <v>1</v>
      </c>
      <c r="W98" s="69">
        <f t="shared" si="12"/>
        <v>37872</v>
      </c>
      <c r="X98" s="69">
        <f t="shared" si="13"/>
        <v>37872</v>
      </c>
      <c r="Y98" s="70" t="s">
        <v>188</v>
      </c>
      <c r="Z98" s="72">
        <v>4734</v>
      </c>
      <c r="AA98" s="70" t="s">
        <v>258</v>
      </c>
      <c r="AB98" s="68">
        <f t="shared" si="14"/>
        <v>0</v>
      </c>
      <c r="AC98" s="73">
        <v>43068</v>
      </c>
      <c r="AD98" s="73">
        <v>43084</v>
      </c>
      <c r="AE98" s="70" t="s">
        <v>57</v>
      </c>
      <c r="AF98" s="71">
        <v>0</v>
      </c>
      <c r="AG98" s="71">
        <v>0</v>
      </c>
      <c r="AH98" s="32">
        <f t="shared" si="15"/>
        <v>8</v>
      </c>
      <c r="AI98" s="71">
        <v>8</v>
      </c>
      <c r="AJ98" s="33">
        <f t="shared" si="16"/>
        <v>1</v>
      </c>
      <c r="AK98" s="69">
        <f t="shared" si="17"/>
        <v>37872</v>
      </c>
      <c r="AL98" s="69">
        <f t="shared" si="18"/>
        <v>37872</v>
      </c>
      <c r="AM98" s="70" t="s">
        <v>99</v>
      </c>
      <c r="AN98" s="70" t="s">
        <v>82</v>
      </c>
      <c r="AO98" s="70" t="s">
        <v>85</v>
      </c>
    </row>
    <row r="99" spans="1:41" x14ac:dyDescent="0.25">
      <c r="A99" s="70">
        <v>1211</v>
      </c>
      <c r="B99" s="70">
        <v>2017</v>
      </c>
      <c r="C99" s="70" t="s">
        <v>65</v>
      </c>
      <c r="D99" s="70" t="s">
        <v>97</v>
      </c>
      <c r="E99" s="70" t="s">
        <v>98</v>
      </c>
      <c r="F99" s="70">
        <v>6089</v>
      </c>
      <c r="G99" s="70" t="s">
        <v>244</v>
      </c>
      <c r="H99" s="71">
        <v>0</v>
      </c>
      <c r="I99" s="71">
        <v>0</v>
      </c>
      <c r="J99" s="71">
        <v>0</v>
      </c>
      <c r="K99" s="71">
        <v>0</v>
      </c>
      <c r="L99" s="71">
        <v>0</v>
      </c>
      <c r="M99" s="71">
        <v>0</v>
      </c>
      <c r="N99" s="71">
        <v>0</v>
      </c>
      <c r="O99" s="71">
        <v>0</v>
      </c>
      <c r="P99" s="71">
        <v>0</v>
      </c>
      <c r="Q99" s="71">
        <v>0</v>
      </c>
      <c r="R99" s="71">
        <v>0</v>
      </c>
      <c r="S99" s="71">
        <v>12</v>
      </c>
      <c r="T99" s="68">
        <f t="shared" si="10"/>
        <v>12</v>
      </c>
      <c r="U99" s="71">
        <v>12</v>
      </c>
      <c r="V99" s="33">
        <f t="shared" si="11"/>
        <v>1</v>
      </c>
      <c r="W99" s="69">
        <f t="shared" si="12"/>
        <v>56808</v>
      </c>
      <c r="X99" s="69">
        <f t="shared" si="13"/>
        <v>56808</v>
      </c>
      <c r="Y99" s="70" t="s">
        <v>188</v>
      </c>
      <c r="Z99" s="72">
        <v>4734</v>
      </c>
      <c r="AA99" s="70" t="s">
        <v>245</v>
      </c>
      <c r="AB99" s="68">
        <f t="shared" si="14"/>
        <v>0</v>
      </c>
      <c r="AC99" s="73">
        <v>43070</v>
      </c>
      <c r="AD99" s="73">
        <v>43091</v>
      </c>
      <c r="AE99" s="70" t="s">
        <v>57</v>
      </c>
      <c r="AF99" s="71">
        <v>0</v>
      </c>
      <c r="AG99" s="71">
        <v>0</v>
      </c>
      <c r="AH99" s="32">
        <f t="shared" si="15"/>
        <v>12</v>
      </c>
      <c r="AI99" s="71">
        <v>12</v>
      </c>
      <c r="AJ99" s="33">
        <f t="shared" si="16"/>
        <v>1</v>
      </c>
      <c r="AK99" s="69">
        <f t="shared" si="17"/>
        <v>56808</v>
      </c>
      <c r="AL99" s="69">
        <f t="shared" si="18"/>
        <v>56808</v>
      </c>
      <c r="AM99" s="70" t="s">
        <v>99</v>
      </c>
      <c r="AN99" s="70" t="s">
        <v>82</v>
      </c>
      <c r="AO99" s="70" t="s">
        <v>85</v>
      </c>
    </row>
    <row r="100" spans="1:41" x14ac:dyDescent="0.25">
      <c r="A100" s="70" t="s">
        <v>165</v>
      </c>
      <c r="B100" s="70">
        <v>2017</v>
      </c>
      <c r="C100" s="70" t="s">
        <v>65</v>
      </c>
      <c r="D100" s="70" t="s">
        <v>87</v>
      </c>
      <c r="E100" s="70" t="s">
        <v>87</v>
      </c>
      <c r="F100" s="70">
        <v>5624</v>
      </c>
      <c r="G100" s="70" t="s">
        <v>191</v>
      </c>
      <c r="H100" s="71">
        <v>0</v>
      </c>
      <c r="I100" s="71">
        <v>3</v>
      </c>
      <c r="J100" s="71">
        <v>0</v>
      </c>
      <c r="K100" s="71">
        <v>0</v>
      </c>
      <c r="L100" s="71">
        <v>0</v>
      </c>
      <c r="M100" s="71">
        <v>0</v>
      </c>
      <c r="N100" s="71">
        <v>0</v>
      </c>
      <c r="O100" s="71">
        <v>0</v>
      </c>
      <c r="P100" s="71">
        <v>0</v>
      </c>
      <c r="Q100" s="71">
        <v>0</v>
      </c>
      <c r="R100" s="71">
        <v>0</v>
      </c>
      <c r="S100" s="71">
        <v>0</v>
      </c>
      <c r="T100" s="68">
        <f t="shared" si="10"/>
        <v>3</v>
      </c>
      <c r="U100" s="71">
        <v>123</v>
      </c>
      <c r="V100" s="33">
        <f t="shared" si="11"/>
        <v>2.4390243902439025E-2</v>
      </c>
      <c r="W100" s="69">
        <f t="shared" si="12"/>
        <v>22029</v>
      </c>
      <c r="X100" s="69">
        <f t="shared" si="13"/>
        <v>903189</v>
      </c>
      <c r="Y100" s="70" t="s">
        <v>188</v>
      </c>
      <c r="Z100" s="72">
        <v>7343</v>
      </c>
      <c r="AA100" s="70" t="s">
        <v>166</v>
      </c>
      <c r="AB100" s="68">
        <f t="shared" si="14"/>
        <v>120</v>
      </c>
      <c r="AC100" s="73">
        <v>42338</v>
      </c>
      <c r="AD100" s="73">
        <v>42886</v>
      </c>
      <c r="AE100" s="70" t="s">
        <v>57</v>
      </c>
      <c r="AF100" s="71">
        <v>0</v>
      </c>
      <c r="AG100" s="71">
        <v>43</v>
      </c>
      <c r="AH100" s="32">
        <f t="shared" si="15"/>
        <v>46</v>
      </c>
      <c r="AI100" s="71">
        <v>166</v>
      </c>
      <c r="AJ100" s="33">
        <f t="shared" si="16"/>
        <v>0.27710843373493976</v>
      </c>
      <c r="AK100" s="69">
        <f t="shared" si="17"/>
        <v>337778</v>
      </c>
      <c r="AL100" s="69">
        <f t="shared" si="18"/>
        <v>1218938</v>
      </c>
      <c r="AM100" s="70" t="s">
        <v>73</v>
      </c>
      <c r="AN100" s="70" t="s">
        <v>59</v>
      </c>
      <c r="AO100" s="70" t="s">
        <v>85</v>
      </c>
    </row>
    <row r="101" spans="1:41" x14ac:dyDescent="0.25">
      <c r="A101" s="70" t="s">
        <v>92</v>
      </c>
      <c r="B101" s="70">
        <v>2017</v>
      </c>
      <c r="C101" s="70" t="s">
        <v>65</v>
      </c>
      <c r="D101" s="70" t="s">
        <v>87</v>
      </c>
      <c r="E101" s="70" t="s">
        <v>87</v>
      </c>
      <c r="F101" s="70">
        <v>5633</v>
      </c>
      <c r="G101" s="70" t="s">
        <v>259</v>
      </c>
      <c r="H101" s="71">
        <v>0</v>
      </c>
      <c r="I101" s="71">
        <v>0</v>
      </c>
      <c r="J101" s="71">
        <v>0</v>
      </c>
      <c r="K101" s="71">
        <v>0</v>
      </c>
      <c r="L101" s="71">
        <v>0</v>
      </c>
      <c r="M101" s="71">
        <v>0</v>
      </c>
      <c r="N101" s="71">
        <v>4</v>
      </c>
      <c r="O101" s="71">
        <v>0</v>
      </c>
      <c r="P101" s="71">
        <v>0</v>
      </c>
      <c r="Q101" s="71">
        <v>3</v>
      </c>
      <c r="R101" s="71">
        <v>7</v>
      </c>
      <c r="S101" s="71">
        <v>0</v>
      </c>
      <c r="T101" s="68">
        <f t="shared" si="10"/>
        <v>14</v>
      </c>
      <c r="U101" s="71">
        <v>38</v>
      </c>
      <c r="V101" s="33">
        <f t="shared" si="11"/>
        <v>0.36842105263157893</v>
      </c>
      <c r="W101" s="69">
        <f t="shared" si="12"/>
        <v>103320</v>
      </c>
      <c r="X101" s="69">
        <f t="shared" si="13"/>
        <v>280440</v>
      </c>
      <c r="Y101" s="70" t="s">
        <v>188</v>
      </c>
      <c r="Z101" s="72">
        <v>7380</v>
      </c>
      <c r="AA101" s="70" t="s">
        <v>93</v>
      </c>
      <c r="AB101" s="68">
        <f t="shared" si="14"/>
        <v>24</v>
      </c>
      <c r="AC101" s="73">
        <v>42908</v>
      </c>
      <c r="AD101" s="73">
        <v>43465</v>
      </c>
      <c r="AE101" s="70" t="s">
        <v>57</v>
      </c>
      <c r="AF101" s="71">
        <v>0</v>
      </c>
      <c r="AG101" s="71">
        <v>0</v>
      </c>
      <c r="AH101" s="32">
        <f t="shared" si="15"/>
        <v>14</v>
      </c>
      <c r="AI101" s="71">
        <v>38</v>
      </c>
      <c r="AJ101" s="33">
        <f t="shared" si="16"/>
        <v>0.36842105263157893</v>
      </c>
      <c r="AK101" s="69">
        <f t="shared" si="17"/>
        <v>103320</v>
      </c>
      <c r="AL101" s="69">
        <f t="shared" si="18"/>
        <v>280440</v>
      </c>
      <c r="AM101" s="70" t="s">
        <v>73</v>
      </c>
      <c r="AN101" s="70" t="s">
        <v>59</v>
      </c>
      <c r="AO101" s="70" t="s">
        <v>85</v>
      </c>
    </row>
    <row r="102" spans="1:41" x14ac:dyDescent="0.25">
      <c r="A102" s="70">
        <v>52568</v>
      </c>
      <c r="B102" s="70">
        <v>2017</v>
      </c>
      <c r="C102" s="70" t="s">
        <v>65</v>
      </c>
      <c r="D102" s="70" t="s">
        <v>122</v>
      </c>
      <c r="E102" s="70" t="s">
        <v>122</v>
      </c>
      <c r="F102" s="70">
        <v>5613</v>
      </c>
      <c r="G102" s="70" t="s">
        <v>194</v>
      </c>
      <c r="H102" s="71">
        <v>0</v>
      </c>
      <c r="I102" s="71">
        <v>0</v>
      </c>
      <c r="J102" s="71">
        <v>0</v>
      </c>
      <c r="K102" s="71">
        <v>1</v>
      </c>
      <c r="L102" s="71">
        <v>0</v>
      </c>
      <c r="M102" s="71">
        <v>0</v>
      </c>
      <c r="N102" s="71">
        <v>0</v>
      </c>
      <c r="O102" s="71">
        <v>0</v>
      </c>
      <c r="P102" s="71">
        <v>0</v>
      </c>
      <c r="Q102" s="71">
        <v>0</v>
      </c>
      <c r="R102" s="71">
        <v>0</v>
      </c>
      <c r="S102" s="71">
        <v>0</v>
      </c>
      <c r="T102" s="68">
        <f t="shared" si="10"/>
        <v>1</v>
      </c>
      <c r="U102" s="71">
        <v>1</v>
      </c>
      <c r="V102" s="33">
        <f t="shared" si="11"/>
        <v>1</v>
      </c>
      <c r="W102" s="69">
        <f t="shared" si="12"/>
        <v>3655.6</v>
      </c>
      <c r="X102" s="69">
        <f t="shared" si="13"/>
        <v>3655.6</v>
      </c>
      <c r="Y102" s="70" t="s">
        <v>188</v>
      </c>
      <c r="Z102" s="72">
        <v>3655.6</v>
      </c>
      <c r="AA102" s="70" t="s">
        <v>260</v>
      </c>
      <c r="AB102" s="68">
        <f t="shared" si="14"/>
        <v>0</v>
      </c>
      <c r="AC102" s="73">
        <v>42825</v>
      </c>
      <c r="AD102" s="73">
        <v>42855</v>
      </c>
      <c r="AE102" s="70" t="s">
        <v>57</v>
      </c>
      <c r="AF102" s="71">
        <v>0</v>
      </c>
      <c r="AG102" s="71">
        <v>0</v>
      </c>
      <c r="AH102" s="32">
        <f t="shared" si="15"/>
        <v>1</v>
      </c>
      <c r="AI102" s="71">
        <v>1</v>
      </c>
      <c r="AJ102" s="33">
        <f t="shared" si="16"/>
        <v>1</v>
      </c>
      <c r="AK102" s="69">
        <f t="shared" si="17"/>
        <v>3655.6</v>
      </c>
      <c r="AL102" s="69">
        <f t="shared" si="18"/>
        <v>3655.6</v>
      </c>
      <c r="AM102" s="70" t="s">
        <v>117</v>
      </c>
      <c r="AN102" s="70" t="s">
        <v>82</v>
      </c>
      <c r="AO102" s="70" t="s">
        <v>85</v>
      </c>
    </row>
    <row r="103" spans="1:41" x14ac:dyDescent="0.25">
      <c r="A103" s="70" t="s">
        <v>136</v>
      </c>
      <c r="B103" s="70">
        <v>2017</v>
      </c>
      <c r="C103" s="70" t="s">
        <v>65</v>
      </c>
      <c r="D103" s="70" t="s">
        <v>137</v>
      </c>
      <c r="E103" s="70" t="s">
        <v>137</v>
      </c>
      <c r="F103" s="70">
        <v>5452</v>
      </c>
      <c r="G103" s="70" t="s">
        <v>221</v>
      </c>
      <c r="H103" s="71">
        <v>0</v>
      </c>
      <c r="I103" s="71">
        <v>0</v>
      </c>
      <c r="J103" s="71">
        <v>0</v>
      </c>
      <c r="K103" s="71">
        <v>0</v>
      </c>
      <c r="L103" s="71">
        <v>0</v>
      </c>
      <c r="M103" s="71">
        <v>0</v>
      </c>
      <c r="N103" s="71">
        <v>0</v>
      </c>
      <c r="O103" s="71">
        <v>0</v>
      </c>
      <c r="P103" s="71">
        <v>0</v>
      </c>
      <c r="Q103" s="71">
        <v>0</v>
      </c>
      <c r="R103" s="71">
        <v>0</v>
      </c>
      <c r="S103" s="71">
        <v>0</v>
      </c>
      <c r="T103" s="68">
        <f t="shared" si="10"/>
        <v>0</v>
      </c>
      <c r="U103" s="71">
        <v>180</v>
      </c>
      <c r="V103" s="33">
        <f t="shared" si="11"/>
        <v>0</v>
      </c>
      <c r="W103" s="69">
        <f t="shared" si="12"/>
        <v>0</v>
      </c>
      <c r="X103" s="69">
        <f t="shared" si="13"/>
        <v>2446844.4</v>
      </c>
      <c r="Y103" s="70" t="s">
        <v>188</v>
      </c>
      <c r="Z103" s="72">
        <v>13593.58</v>
      </c>
      <c r="AA103" s="70" t="s">
        <v>138</v>
      </c>
      <c r="AB103" s="68">
        <f t="shared" si="14"/>
        <v>180</v>
      </c>
      <c r="AC103" s="73">
        <v>42711</v>
      </c>
      <c r="AD103" s="73">
        <v>43100</v>
      </c>
      <c r="AE103" s="70" t="s">
        <v>57</v>
      </c>
      <c r="AF103" s="71">
        <v>0</v>
      </c>
      <c r="AG103" s="71">
        <v>0</v>
      </c>
      <c r="AH103" s="32">
        <f t="shared" si="15"/>
        <v>0</v>
      </c>
      <c r="AI103" s="71">
        <v>180</v>
      </c>
      <c r="AJ103" s="33">
        <f t="shared" si="16"/>
        <v>0</v>
      </c>
      <c r="AK103" s="69">
        <f t="shared" si="17"/>
        <v>0</v>
      </c>
      <c r="AL103" s="69">
        <f t="shared" si="18"/>
        <v>2446844.4</v>
      </c>
      <c r="AM103" s="70" t="s">
        <v>99</v>
      </c>
      <c r="AN103" s="70" t="s">
        <v>59</v>
      </c>
      <c r="AO103" s="70" t="s">
        <v>85</v>
      </c>
    </row>
    <row r="104" spans="1:41" x14ac:dyDescent="0.25">
      <c r="A104" s="70">
        <v>54585</v>
      </c>
      <c r="B104" s="70">
        <v>2017</v>
      </c>
      <c r="C104" s="70" t="s">
        <v>65</v>
      </c>
      <c r="D104" s="70" t="s">
        <v>137</v>
      </c>
      <c r="E104" s="70" t="s">
        <v>137</v>
      </c>
      <c r="F104" s="70">
        <v>5613</v>
      </c>
      <c r="G104" s="70" t="s">
        <v>194</v>
      </c>
      <c r="H104" s="71">
        <v>0</v>
      </c>
      <c r="I104" s="71">
        <v>0</v>
      </c>
      <c r="J104" s="71">
        <v>0</v>
      </c>
      <c r="K104" s="71">
        <v>0</v>
      </c>
      <c r="L104" s="71">
        <v>0</v>
      </c>
      <c r="M104" s="71">
        <v>0</v>
      </c>
      <c r="N104" s="71">
        <v>0</v>
      </c>
      <c r="O104" s="71">
        <v>0</v>
      </c>
      <c r="P104" s="71">
        <v>0</v>
      </c>
      <c r="Q104" s="71">
        <v>1</v>
      </c>
      <c r="R104" s="71">
        <v>0</v>
      </c>
      <c r="S104" s="71">
        <v>0</v>
      </c>
      <c r="T104" s="68">
        <f t="shared" si="10"/>
        <v>1</v>
      </c>
      <c r="U104" s="71">
        <v>1</v>
      </c>
      <c r="V104" s="33">
        <f t="shared" si="11"/>
        <v>1</v>
      </c>
      <c r="W104" s="69">
        <f t="shared" si="12"/>
        <v>3655.6</v>
      </c>
      <c r="X104" s="69">
        <f t="shared" si="13"/>
        <v>3655.6</v>
      </c>
      <c r="Y104" s="70" t="s">
        <v>188</v>
      </c>
      <c r="Z104" s="72">
        <v>3655.6</v>
      </c>
      <c r="AA104" s="70" t="s">
        <v>261</v>
      </c>
      <c r="AB104" s="68">
        <f t="shared" si="14"/>
        <v>0</v>
      </c>
      <c r="AC104" s="73">
        <v>43032</v>
      </c>
      <c r="AD104" s="73">
        <v>43063</v>
      </c>
      <c r="AE104" s="70" t="s">
        <v>57</v>
      </c>
      <c r="AF104" s="71">
        <v>0</v>
      </c>
      <c r="AG104" s="71">
        <v>0</v>
      </c>
      <c r="AH104" s="32">
        <f t="shared" si="15"/>
        <v>1</v>
      </c>
      <c r="AI104" s="71">
        <v>1</v>
      </c>
      <c r="AJ104" s="33">
        <f t="shared" si="16"/>
        <v>1</v>
      </c>
      <c r="AK104" s="69">
        <f t="shared" si="17"/>
        <v>3655.6</v>
      </c>
      <c r="AL104" s="69">
        <f t="shared" si="18"/>
        <v>3655.6</v>
      </c>
      <c r="AM104" s="70" t="s">
        <v>99</v>
      </c>
      <c r="AN104" s="70" t="s">
        <v>82</v>
      </c>
      <c r="AO104" s="70" t="s">
        <v>85</v>
      </c>
    </row>
    <row r="105" spans="1:41" x14ac:dyDescent="0.25">
      <c r="A105" s="70">
        <v>55259</v>
      </c>
      <c r="B105" s="70">
        <v>2017</v>
      </c>
      <c r="C105" s="70" t="s">
        <v>65</v>
      </c>
      <c r="D105" s="70" t="s">
        <v>137</v>
      </c>
      <c r="E105" s="70" t="s">
        <v>137</v>
      </c>
      <c r="F105" s="70">
        <v>5613</v>
      </c>
      <c r="G105" s="70" t="s">
        <v>194</v>
      </c>
      <c r="H105" s="71">
        <v>0</v>
      </c>
      <c r="I105" s="71">
        <v>0</v>
      </c>
      <c r="J105" s="71">
        <v>0</v>
      </c>
      <c r="K105" s="71">
        <v>0</v>
      </c>
      <c r="L105" s="71">
        <v>0</v>
      </c>
      <c r="M105" s="71">
        <v>0</v>
      </c>
      <c r="N105" s="71">
        <v>0</v>
      </c>
      <c r="O105" s="71">
        <v>0</v>
      </c>
      <c r="P105" s="71">
        <v>0</v>
      </c>
      <c r="Q105" s="71">
        <v>0</v>
      </c>
      <c r="R105" s="71">
        <v>0</v>
      </c>
      <c r="S105" s="71">
        <v>2</v>
      </c>
      <c r="T105" s="68">
        <f t="shared" si="10"/>
        <v>2</v>
      </c>
      <c r="U105" s="71">
        <v>2</v>
      </c>
      <c r="V105" s="33">
        <f t="shared" si="11"/>
        <v>1</v>
      </c>
      <c r="W105" s="69">
        <f t="shared" si="12"/>
        <v>7311.2</v>
      </c>
      <c r="X105" s="69">
        <f t="shared" si="13"/>
        <v>7311.2</v>
      </c>
      <c r="Y105" s="70" t="s">
        <v>188</v>
      </c>
      <c r="Z105" s="72">
        <v>3655.6</v>
      </c>
      <c r="AA105" s="70" t="s">
        <v>262</v>
      </c>
      <c r="AB105" s="68">
        <f t="shared" si="14"/>
        <v>0</v>
      </c>
      <c r="AC105" s="73">
        <v>43089</v>
      </c>
      <c r="AD105" s="73">
        <v>43096</v>
      </c>
      <c r="AE105" s="70" t="s">
        <v>57</v>
      </c>
      <c r="AF105" s="71">
        <v>0</v>
      </c>
      <c r="AG105" s="71">
        <v>0</v>
      </c>
      <c r="AH105" s="32">
        <f t="shared" si="15"/>
        <v>2</v>
      </c>
      <c r="AI105" s="71">
        <v>2</v>
      </c>
      <c r="AJ105" s="33">
        <f t="shared" si="16"/>
        <v>1</v>
      </c>
      <c r="AK105" s="69">
        <f t="shared" si="17"/>
        <v>7311.2</v>
      </c>
      <c r="AL105" s="69">
        <f t="shared" si="18"/>
        <v>7311.2</v>
      </c>
      <c r="AM105" s="70" t="s">
        <v>99</v>
      </c>
      <c r="AN105" s="70" t="s">
        <v>82</v>
      </c>
      <c r="AO105" s="70" t="s">
        <v>85</v>
      </c>
    </row>
    <row r="106" spans="1:41" x14ac:dyDescent="0.25">
      <c r="A106" s="70" t="s">
        <v>136</v>
      </c>
      <c r="B106" s="70">
        <v>2017</v>
      </c>
      <c r="C106" s="70" t="s">
        <v>65</v>
      </c>
      <c r="D106" s="70" t="s">
        <v>137</v>
      </c>
      <c r="E106" s="70" t="s">
        <v>137</v>
      </c>
      <c r="F106" s="70">
        <v>5613</v>
      </c>
      <c r="G106" s="70" t="s">
        <v>194</v>
      </c>
      <c r="H106" s="71">
        <v>0</v>
      </c>
      <c r="I106" s="71">
        <v>0</v>
      </c>
      <c r="J106" s="71">
        <v>0</v>
      </c>
      <c r="K106" s="71">
        <v>0</v>
      </c>
      <c r="L106" s="71">
        <v>0</v>
      </c>
      <c r="M106" s="71">
        <v>0</v>
      </c>
      <c r="N106" s="71">
        <v>0</v>
      </c>
      <c r="O106" s="71">
        <v>0</v>
      </c>
      <c r="P106" s="71">
        <v>0</v>
      </c>
      <c r="Q106" s="71">
        <v>0</v>
      </c>
      <c r="R106" s="71">
        <v>0</v>
      </c>
      <c r="S106" s="71">
        <v>0</v>
      </c>
      <c r="T106" s="68">
        <f t="shared" si="10"/>
        <v>0</v>
      </c>
      <c r="U106" s="71">
        <v>72</v>
      </c>
      <c r="V106" s="33">
        <f t="shared" si="11"/>
        <v>0</v>
      </c>
      <c r="W106" s="69">
        <f t="shared" si="12"/>
        <v>0</v>
      </c>
      <c r="X106" s="69">
        <f t="shared" si="13"/>
        <v>263203.20000000001</v>
      </c>
      <c r="Y106" s="70" t="s">
        <v>188</v>
      </c>
      <c r="Z106" s="72">
        <v>3655.6</v>
      </c>
      <c r="AA106" s="70" t="s">
        <v>138</v>
      </c>
      <c r="AB106" s="68">
        <f t="shared" si="14"/>
        <v>72</v>
      </c>
      <c r="AC106" s="73">
        <v>42711</v>
      </c>
      <c r="AD106" s="73">
        <v>43100</v>
      </c>
      <c r="AE106" s="70" t="s">
        <v>57</v>
      </c>
      <c r="AF106" s="71">
        <v>0</v>
      </c>
      <c r="AG106" s="71">
        <v>0</v>
      </c>
      <c r="AH106" s="32">
        <f t="shared" si="15"/>
        <v>0</v>
      </c>
      <c r="AI106" s="71">
        <v>72</v>
      </c>
      <c r="AJ106" s="33">
        <f t="shared" si="16"/>
        <v>0</v>
      </c>
      <c r="AK106" s="69">
        <f t="shared" si="17"/>
        <v>0</v>
      </c>
      <c r="AL106" s="69">
        <f t="shared" si="18"/>
        <v>263203.20000000001</v>
      </c>
      <c r="AM106" s="70" t="s">
        <v>99</v>
      </c>
      <c r="AN106" s="70" t="s">
        <v>59</v>
      </c>
      <c r="AO106" s="70" t="s">
        <v>85</v>
      </c>
    </row>
    <row r="107" spans="1:41" x14ac:dyDescent="0.25">
      <c r="A107" s="70" t="s">
        <v>139</v>
      </c>
      <c r="B107" s="70">
        <v>2017</v>
      </c>
      <c r="C107" s="70" t="s">
        <v>65</v>
      </c>
      <c r="D107" s="70" t="s">
        <v>137</v>
      </c>
      <c r="E107" s="70" t="s">
        <v>137</v>
      </c>
      <c r="F107" s="70">
        <v>5613</v>
      </c>
      <c r="G107" s="70" t="s">
        <v>194</v>
      </c>
      <c r="H107" s="71">
        <v>0</v>
      </c>
      <c r="I107" s="71">
        <v>0</v>
      </c>
      <c r="J107" s="71">
        <v>0</v>
      </c>
      <c r="K107" s="71">
        <v>0</v>
      </c>
      <c r="L107" s="71">
        <v>0</v>
      </c>
      <c r="M107" s="71">
        <v>0</v>
      </c>
      <c r="N107" s="71">
        <v>0</v>
      </c>
      <c r="O107" s="71">
        <v>0</v>
      </c>
      <c r="P107" s="71">
        <v>0</v>
      </c>
      <c r="Q107" s="71">
        <v>0</v>
      </c>
      <c r="R107" s="71">
        <v>0</v>
      </c>
      <c r="S107" s="71">
        <v>0</v>
      </c>
      <c r="T107" s="68">
        <f t="shared" si="10"/>
        <v>0</v>
      </c>
      <c r="U107" s="71">
        <v>96</v>
      </c>
      <c r="V107" s="33">
        <f t="shared" si="11"/>
        <v>0</v>
      </c>
      <c r="W107" s="69">
        <f t="shared" si="12"/>
        <v>0</v>
      </c>
      <c r="X107" s="69">
        <f t="shared" si="13"/>
        <v>350937.59999999998</v>
      </c>
      <c r="Y107" s="70" t="s">
        <v>188</v>
      </c>
      <c r="Z107" s="72">
        <v>3655.6</v>
      </c>
      <c r="AA107" s="70" t="s">
        <v>140</v>
      </c>
      <c r="AB107" s="68">
        <f t="shared" si="14"/>
        <v>96</v>
      </c>
      <c r="AC107" s="73">
        <v>42977</v>
      </c>
      <c r="AD107" s="73">
        <v>43100</v>
      </c>
      <c r="AE107" s="70" t="s">
        <v>57</v>
      </c>
      <c r="AF107" s="71">
        <v>0</v>
      </c>
      <c r="AG107" s="71">
        <v>0</v>
      </c>
      <c r="AH107" s="32">
        <f t="shared" si="15"/>
        <v>0</v>
      </c>
      <c r="AI107" s="71">
        <v>96</v>
      </c>
      <c r="AJ107" s="33">
        <f t="shared" si="16"/>
        <v>0</v>
      </c>
      <c r="AK107" s="69">
        <f t="shared" si="17"/>
        <v>0</v>
      </c>
      <c r="AL107" s="69">
        <f t="shared" si="18"/>
        <v>350937.59999999998</v>
      </c>
      <c r="AM107" s="70" t="s">
        <v>99</v>
      </c>
      <c r="AN107" s="70" t="s">
        <v>59</v>
      </c>
      <c r="AO107" s="70" t="s">
        <v>85</v>
      </c>
    </row>
    <row r="108" spans="1:41" x14ac:dyDescent="0.25">
      <c r="A108" s="70" t="s">
        <v>136</v>
      </c>
      <c r="B108" s="70">
        <v>2017</v>
      </c>
      <c r="C108" s="70" t="s">
        <v>65</v>
      </c>
      <c r="D108" s="70" t="s">
        <v>137</v>
      </c>
      <c r="E108" s="70" t="s">
        <v>137</v>
      </c>
      <c r="F108" s="70">
        <v>5624</v>
      </c>
      <c r="G108" s="70" t="s">
        <v>191</v>
      </c>
      <c r="H108" s="71">
        <v>0</v>
      </c>
      <c r="I108" s="71">
        <v>0</v>
      </c>
      <c r="J108" s="71">
        <v>0</v>
      </c>
      <c r="K108" s="71">
        <v>0</v>
      </c>
      <c r="L108" s="71">
        <v>0</v>
      </c>
      <c r="M108" s="71">
        <v>0</v>
      </c>
      <c r="N108" s="71">
        <v>0</v>
      </c>
      <c r="O108" s="71">
        <v>0</v>
      </c>
      <c r="P108" s="71">
        <v>0</v>
      </c>
      <c r="Q108" s="71">
        <v>0</v>
      </c>
      <c r="R108" s="71">
        <v>0</v>
      </c>
      <c r="S108" s="71">
        <v>0</v>
      </c>
      <c r="T108" s="68">
        <f t="shared" si="10"/>
        <v>0</v>
      </c>
      <c r="U108" s="71">
        <v>45</v>
      </c>
      <c r="V108" s="33">
        <f t="shared" si="11"/>
        <v>0</v>
      </c>
      <c r="W108" s="69">
        <f t="shared" si="12"/>
        <v>0</v>
      </c>
      <c r="X108" s="69">
        <f t="shared" si="13"/>
        <v>330435</v>
      </c>
      <c r="Y108" s="70" t="s">
        <v>188</v>
      </c>
      <c r="Z108" s="72">
        <v>7343</v>
      </c>
      <c r="AA108" s="70" t="s">
        <v>138</v>
      </c>
      <c r="AB108" s="68">
        <f t="shared" si="14"/>
        <v>45</v>
      </c>
      <c r="AC108" s="73">
        <v>42711</v>
      </c>
      <c r="AD108" s="73">
        <v>43100</v>
      </c>
      <c r="AE108" s="70" t="s">
        <v>57</v>
      </c>
      <c r="AF108" s="71">
        <v>0</v>
      </c>
      <c r="AG108" s="71">
        <v>0</v>
      </c>
      <c r="AH108" s="32">
        <f t="shared" si="15"/>
        <v>0</v>
      </c>
      <c r="AI108" s="71">
        <v>45</v>
      </c>
      <c r="AJ108" s="33">
        <f t="shared" si="16"/>
        <v>0</v>
      </c>
      <c r="AK108" s="69">
        <f t="shared" si="17"/>
        <v>0</v>
      </c>
      <c r="AL108" s="69">
        <f t="shared" si="18"/>
        <v>330435</v>
      </c>
      <c r="AM108" s="70" t="s">
        <v>99</v>
      </c>
      <c r="AN108" s="70" t="s">
        <v>59</v>
      </c>
      <c r="AO108" s="70" t="s">
        <v>85</v>
      </c>
    </row>
    <row r="109" spans="1:41" x14ac:dyDescent="0.25">
      <c r="A109" s="70" t="s">
        <v>139</v>
      </c>
      <c r="B109" s="70">
        <v>2017</v>
      </c>
      <c r="C109" s="70" t="s">
        <v>65</v>
      </c>
      <c r="D109" s="70" t="s">
        <v>137</v>
      </c>
      <c r="E109" s="70" t="s">
        <v>137</v>
      </c>
      <c r="F109" s="70">
        <v>5624</v>
      </c>
      <c r="G109" s="70" t="s">
        <v>191</v>
      </c>
      <c r="H109" s="71">
        <v>0</v>
      </c>
      <c r="I109" s="71">
        <v>0</v>
      </c>
      <c r="J109" s="71">
        <v>0</v>
      </c>
      <c r="K109" s="71">
        <v>0</v>
      </c>
      <c r="L109" s="71">
        <v>0</v>
      </c>
      <c r="M109" s="71">
        <v>0</v>
      </c>
      <c r="N109" s="71">
        <v>0</v>
      </c>
      <c r="O109" s="71">
        <v>0</v>
      </c>
      <c r="P109" s="71">
        <v>0</v>
      </c>
      <c r="Q109" s="71">
        <v>0</v>
      </c>
      <c r="R109" s="71">
        <v>0</v>
      </c>
      <c r="S109" s="71">
        <v>0</v>
      </c>
      <c r="T109" s="68">
        <f t="shared" si="10"/>
        <v>0</v>
      </c>
      <c r="U109" s="71">
        <v>8</v>
      </c>
      <c r="V109" s="33">
        <f t="shared" si="11"/>
        <v>0</v>
      </c>
      <c r="W109" s="69">
        <f t="shared" si="12"/>
        <v>0</v>
      </c>
      <c r="X109" s="69">
        <f t="shared" si="13"/>
        <v>58744</v>
      </c>
      <c r="Y109" s="70" t="s">
        <v>188</v>
      </c>
      <c r="Z109" s="72">
        <v>7343</v>
      </c>
      <c r="AA109" s="70" t="s">
        <v>140</v>
      </c>
      <c r="AB109" s="68">
        <f t="shared" si="14"/>
        <v>8</v>
      </c>
      <c r="AC109" s="73">
        <v>42977</v>
      </c>
      <c r="AD109" s="73">
        <v>43100</v>
      </c>
      <c r="AE109" s="70" t="s">
        <v>57</v>
      </c>
      <c r="AF109" s="71">
        <v>0</v>
      </c>
      <c r="AG109" s="71">
        <v>0</v>
      </c>
      <c r="AH109" s="32">
        <f t="shared" si="15"/>
        <v>0</v>
      </c>
      <c r="AI109" s="71">
        <v>8</v>
      </c>
      <c r="AJ109" s="33">
        <f t="shared" si="16"/>
        <v>0</v>
      </c>
      <c r="AK109" s="69">
        <f t="shared" si="17"/>
        <v>0</v>
      </c>
      <c r="AL109" s="69">
        <f t="shared" si="18"/>
        <v>58744</v>
      </c>
      <c r="AM109" s="70" t="s">
        <v>99</v>
      </c>
      <c r="AN109" s="70" t="s">
        <v>59</v>
      </c>
      <c r="AO109" s="70" t="s">
        <v>85</v>
      </c>
    </row>
    <row r="110" spans="1:41" x14ac:dyDescent="0.25">
      <c r="A110" s="70" t="s">
        <v>136</v>
      </c>
      <c r="B110" s="70">
        <v>2017</v>
      </c>
      <c r="C110" s="70" t="s">
        <v>65</v>
      </c>
      <c r="D110" s="70" t="s">
        <v>137</v>
      </c>
      <c r="E110" s="70" t="s">
        <v>137</v>
      </c>
      <c r="F110" s="70">
        <v>5627</v>
      </c>
      <c r="G110" s="70" t="s">
        <v>187</v>
      </c>
      <c r="H110" s="71">
        <v>0</v>
      </c>
      <c r="I110" s="71">
        <v>0</v>
      </c>
      <c r="J110" s="71">
        <v>0</v>
      </c>
      <c r="K110" s="71">
        <v>0</v>
      </c>
      <c r="L110" s="71">
        <v>0</v>
      </c>
      <c r="M110" s="71">
        <v>0</v>
      </c>
      <c r="N110" s="71">
        <v>0</v>
      </c>
      <c r="O110" s="71">
        <v>0</v>
      </c>
      <c r="P110" s="71">
        <v>0</v>
      </c>
      <c r="Q110" s="71">
        <v>0</v>
      </c>
      <c r="R110" s="71">
        <v>0</v>
      </c>
      <c r="S110" s="71">
        <v>0</v>
      </c>
      <c r="T110" s="68">
        <f t="shared" si="10"/>
        <v>0</v>
      </c>
      <c r="U110" s="71">
        <v>612.5</v>
      </c>
      <c r="V110" s="33">
        <f t="shared" si="11"/>
        <v>0</v>
      </c>
      <c r="W110" s="69">
        <f t="shared" si="12"/>
        <v>0</v>
      </c>
      <c r="X110" s="69">
        <f t="shared" si="13"/>
        <v>1607200</v>
      </c>
      <c r="Y110" s="70" t="s">
        <v>188</v>
      </c>
      <c r="Z110" s="72">
        <v>2624</v>
      </c>
      <c r="AA110" s="70" t="s">
        <v>138</v>
      </c>
      <c r="AB110" s="68">
        <f t="shared" si="14"/>
        <v>612.5</v>
      </c>
      <c r="AC110" s="73">
        <v>42711</v>
      </c>
      <c r="AD110" s="73">
        <v>43100</v>
      </c>
      <c r="AE110" s="70" t="s">
        <v>57</v>
      </c>
      <c r="AF110" s="71">
        <v>0</v>
      </c>
      <c r="AG110" s="71">
        <v>0</v>
      </c>
      <c r="AH110" s="32">
        <f t="shared" si="15"/>
        <v>0</v>
      </c>
      <c r="AI110" s="71">
        <v>612.5</v>
      </c>
      <c r="AJ110" s="33">
        <f t="shared" si="16"/>
        <v>0</v>
      </c>
      <c r="AK110" s="69">
        <f t="shared" si="17"/>
        <v>0</v>
      </c>
      <c r="AL110" s="69">
        <f t="shared" si="18"/>
        <v>1607200</v>
      </c>
      <c r="AM110" s="70" t="s">
        <v>99</v>
      </c>
      <c r="AN110" s="70" t="s">
        <v>59</v>
      </c>
      <c r="AO110" s="70" t="s">
        <v>85</v>
      </c>
    </row>
    <row r="111" spans="1:41" x14ac:dyDescent="0.25">
      <c r="A111" s="70" t="s">
        <v>136</v>
      </c>
      <c r="B111" s="70">
        <v>2017</v>
      </c>
      <c r="C111" s="70" t="s">
        <v>65</v>
      </c>
      <c r="D111" s="70" t="s">
        <v>137</v>
      </c>
      <c r="E111" s="70" t="s">
        <v>137</v>
      </c>
      <c r="F111" s="70">
        <v>5632</v>
      </c>
      <c r="G111" s="70" t="s">
        <v>212</v>
      </c>
      <c r="H111" s="71">
        <v>0</v>
      </c>
      <c r="I111" s="71">
        <v>0</v>
      </c>
      <c r="J111" s="71">
        <v>0</v>
      </c>
      <c r="K111" s="71">
        <v>0</v>
      </c>
      <c r="L111" s="71">
        <v>0</v>
      </c>
      <c r="M111" s="71">
        <v>0</v>
      </c>
      <c r="N111" s="71">
        <v>0</v>
      </c>
      <c r="O111" s="71">
        <v>0</v>
      </c>
      <c r="P111" s="71">
        <v>0</v>
      </c>
      <c r="Q111" s="71">
        <v>0</v>
      </c>
      <c r="R111" s="71">
        <v>0</v>
      </c>
      <c r="S111" s="71">
        <v>0</v>
      </c>
      <c r="T111" s="68">
        <f t="shared" si="10"/>
        <v>0</v>
      </c>
      <c r="U111" s="71">
        <v>10</v>
      </c>
      <c r="V111" s="33">
        <f t="shared" si="11"/>
        <v>0</v>
      </c>
      <c r="W111" s="69">
        <f t="shared" si="12"/>
        <v>0</v>
      </c>
      <c r="X111" s="69">
        <f t="shared" si="13"/>
        <v>44280</v>
      </c>
      <c r="Y111" s="70" t="s">
        <v>188</v>
      </c>
      <c r="Z111" s="72">
        <v>4428</v>
      </c>
      <c r="AA111" s="70" t="s">
        <v>138</v>
      </c>
      <c r="AB111" s="68">
        <f t="shared" si="14"/>
        <v>10</v>
      </c>
      <c r="AC111" s="73">
        <v>42711</v>
      </c>
      <c r="AD111" s="73">
        <v>43100</v>
      </c>
      <c r="AE111" s="70" t="s">
        <v>57</v>
      </c>
      <c r="AF111" s="71">
        <v>0</v>
      </c>
      <c r="AG111" s="71">
        <v>0</v>
      </c>
      <c r="AH111" s="32">
        <f t="shared" si="15"/>
        <v>0</v>
      </c>
      <c r="AI111" s="71">
        <v>10</v>
      </c>
      <c r="AJ111" s="33">
        <f t="shared" si="16"/>
        <v>0</v>
      </c>
      <c r="AK111" s="69">
        <f t="shared" si="17"/>
        <v>0</v>
      </c>
      <c r="AL111" s="69">
        <f t="shared" si="18"/>
        <v>44280</v>
      </c>
      <c r="AM111" s="70" t="s">
        <v>99</v>
      </c>
      <c r="AN111" s="70" t="s">
        <v>59</v>
      </c>
      <c r="AO111" s="70" t="s">
        <v>85</v>
      </c>
    </row>
    <row r="112" spans="1:41" x14ac:dyDescent="0.25">
      <c r="A112" s="70" t="s">
        <v>139</v>
      </c>
      <c r="B112" s="70">
        <v>2017</v>
      </c>
      <c r="C112" s="70" t="s">
        <v>65</v>
      </c>
      <c r="D112" s="70" t="s">
        <v>137</v>
      </c>
      <c r="E112" s="70" t="s">
        <v>137</v>
      </c>
      <c r="F112" s="70">
        <v>5653</v>
      </c>
      <c r="G112" s="70" t="s">
        <v>263</v>
      </c>
      <c r="H112" s="71">
        <v>0</v>
      </c>
      <c r="I112" s="71">
        <v>0</v>
      </c>
      <c r="J112" s="71">
        <v>0</v>
      </c>
      <c r="K112" s="71">
        <v>0</v>
      </c>
      <c r="L112" s="71">
        <v>0</v>
      </c>
      <c r="M112" s="71">
        <v>0</v>
      </c>
      <c r="N112" s="71">
        <v>0</v>
      </c>
      <c r="O112" s="71">
        <v>0</v>
      </c>
      <c r="P112" s="71">
        <v>0</v>
      </c>
      <c r="Q112" s="71">
        <v>0</v>
      </c>
      <c r="R112" s="71">
        <v>0</v>
      </c>
      <c r="S112" s="71">
        <v>0</v>
      </c>
      <c r="T112" s="68">
        <f t="shared" si="10"/>
        <v>0</v>
      </c>
      <c r="U112" s="71">
        <v>132</v>
      </c>
      <c r="V112" s="33">
        <f t="shared" si="11"/>
        <v>0</v>
      </c>
      <c r="W112" s="69">
        <f t="shared" si="12"/>
        <v>0</v>
      </c>
      <c r="X112" s="69">
        <f t="shared" si="13"/>
        <v>1016294.4</v>
      </c>
      <c r="Y112" s="70" t="s">
        <v>188</v>
      </c>
      <c r="Z112" s="72">
        <v>7699.2</v>
      </c>
      <c r="AA112" s="70" t="s">
        <v>140</v>
      </c>
      <c r="AB112" s="68">
        <f t="shared" si="14"/>
        <v>132</v>
      </c>
      <c r="AC112" s="73">
        <v>42977</v>
      </c>
      <c r="AD112" s="73">
        <v>43100</v>
      </c>
      <c r="AE112" s="70" t="s">
        <v>57</v>
      </c>
      <c r="AF112" s="71">
        <v>0</v>
      </c>
      <c r="AG112" s="71">
        <v>0</v>
      </c>
      <c r="AH112" s="32">
        <f t="shared" si="15"/>
        <v>0</v>
      </c>
      <c r="AI112" s="71">
        <v>132</v>
      </c>
      <c r="AJ112" s="33">
        <f t="shared" si="16"/>
        <v>0</v>
      </c>
      <c r="AK112" s="69">
        <f t="shared" si="17"/>
        <v>0</v>
      </c>
      <c r="AL112" s="69">
        <f t="shared" si="18"/>
        <v>1016294.4</v>
      </c>
      <c r="AM112" s="70" t="s">
        <v>99</v>
      </c>
      <c r="AN112" s="70" t="s">
        <v>59</v>
      </c>
      <c r="AO112" s="70" t="s">
        <v>85</v>
      </c>
    </row>
    <row r="113" spans="1:41" x14ac:dyDescent="0.25">
      <c r="A113" s="70">
        <v>53249</v>
      </c>
      <c r="B113" s="70">
        <v>2017</v>
      </c>
      <c r="C113" s="70" t="s">
        <v>65</v>
      </c>
      <c r="D113" s="70" t="s">
        <v>137</v>
      </c>
      <c r="E113" s="70" t="s">
        <v>141</v>
      </c>
      <c r="F113" s="70">
        <v>5613</v>
      </c>
      <c r="G113" s="70" t="s">
        <v>194</v>
      </c>
      <c r="H113" s="71">
        <v>0</v>
      </c>
      <c r="I113" s="71">
        <v>0</v>
      </c>
      <c r="J113" s="71">
        <v>0</v>
      </c>
      <c r="K113" s="71">
        <v>0</v>
      </c>
      <c r="L113" s="71">
        <v>0</v>
      </c>
      <c r="M113" s="71">
        <v>1</v>
      </c>
      <c r="N113" s="71">
        <v>0</v>
      </c>
      <c r="O113" s="71">
        <v>0</v>
      </c>
      <c r="P113" s="71">
        <v>0</v>
      </c>
      <c r="Q113" s="71">
        <v>0</v>
      </c>
      <c r="R113" s="71">
        <v>0</v>
      </c>
      <c r="S113" s="71">
        <v>0</v>
      </c>
      <c r="T113" s="68">
        <f t="shared" si="10"/>
        <v>1</v>
      </c>
      <c r="U113" s="71">
        <v>1</v>
      </c>
      <c r="V113" s="33">
        <f t="shared" si="11"/>
        <v>1</v>
      </c>
      <c r="W113" s="69">
        <f t="shared" si="12"/>
        <v>3655.6</v>
      </c>
      <c r="X113" s="69">
        <f t="shared" si="13"/>
        <v>3655.6</v>
      </c>
      <c r="Y113" s="70" t="s">
        <v>188</v>
      </c>
      <c r="Z113" s="72">
        <v>3655.6</v>
      </c>
      <c r="AA113" s="70" t="s">
        <v>264</v>
      </c>
      <c r="AB113" s="68">
        <f t="shared" si="14"/>
        <v>0</v>
      </c>
      <c r="AC113" s="73">
        <v>42891</v>
      </c>
      <c r="AD113" s="73">
        <v>42921</v>
      </c>
      <c r="AE113" s="70" t="s">
        <v>57</v>
      </c>
      <c r="AF113" s="71">
        <v>0</v>
      </c>
      <c r="AG113" s="71">
        <v>0</v>
      </c>
      <c r="AH113" s="32">
        <f t="shared" si="15"/>
        <v>1</v>
      </c>
      <c r="AI113" s="71">
        <v>1</v>
      </c>
      <c r="AJ113" s="33">
        <f t="shared" si="16"/>
        <v>1</v>
      </c>
      <c r="AK113" s="69">
        <f t="shared" si="17"/>
        <v>3655.6</v>
      </c>
      <c r="AL113" s="69">
        <f t="shared" si="18"/>
        <v>3655.6</v>
      </c>
      <c r="AM113" s="70" t="s">
        <v>99</v>
      </c>
      <c r="AN113" s="70" t="s">
        <v>82</v>
      </c>
      <c r="AO113" s="70" t="s">
        <v>85</v>
      </c>
    </row>
    <row r="114" spans="1:41" x14ac:dyDescent="0.25">
      <c r="A114" s="70" t="s">
        <v>136</v>
      </c>
      <c r="B114" s="70">
        <v>2017</v>
      </c>
      <c r="C114" s="70" t="s">
        <v>65</v>
      </c>
      <c r="D114" s="70" t="s">
        <v>137</v>
      </c>
      <c r="E114" s="70" t="s">
        <v>141</v>
      </c>
      <c r="F114" s="70">
        <v>5613</v>
      </c>
      <c r="G114" s="70" t="s">
        <v>194</v>
      </c>
      <c r="H114" s="71">
        <v>0</v>
      </c>
      <c r="I114" s="71">
        <v>0</v>
      </c>
      <c r="J114" s="71">
        <v>14</v>
      </c>
      <c r="K114" s="71">
        <v>10</v>
      </c>
      <c r="L114" s="71">
        <v>5</v>
      </c>
      <c r="M114" s="71">
        <v>31</v>
      </c>
      <c r="N114" s="71">
        <v>0</v>
      </c>
      <c r="O114" s="71">
        <v>0</v>
      </c>
      <c r="P114" s="71">
        <v>12</v>
      </c>
      <c r="Q114" s="71">
        <v>0</v>
      </c>
      <c r="R114" s="71">
        <v>0</v>
      </c>
      <c r="S114" s="71">
        <v>0</v>
      </c>
      <c r="T114" s="68">
        <f t="shared" si="10"/>
        <v>72</v>
      </c>
      <c r="U114" s="71">
        <v>0</v>
      </c>
      <c r="V114" s="33">
        <f t="shared" si="11"/>
        <v>0</v>
      </c>
      <c r="W114" s="69">
        <f t="shared" si="12"/>
        <v>263203.20000000001</v>
      </c>
      <c r="X114" s="69">
        <f t="shared" si="13"/>
        <v>0</v>
      </c>
      <c r="Y114" s="70" t="s">
        <v>188</v>
      </c>
      <c r="Z114" s="72">
        <v>3655.6</v>
      </c>
      <c r="AA114" s="70" t="s">
        <v>138</v>
      </c>
      <c r="AB114" s="68">
        <f t="shared" si="14"/>
        <v>-72</v>
      </c>
      <c r="AC114" s="73">
        <v>42711</v>
      </c>
      <c r="AD114" s="73">
        <v>43100</v>
      </c>
      <c r="AE114" s="70" t="s">
        <v>57</v>
      </c>
      <c r="AF114" s="71">
        <v>0</v>
      </c>
      <c r="AG114" s="71">
        <v>0</v>
      </c>
      <c r="AH114" s="32">
        <f t="shared" si="15"/>
        <v>72</v>
      </c>
      <c r="AI114" s="71">
        <v>0</v>
      </c>
      <c r="AJ114" s="33">
        <f t="shared" si="16"/>
        <v>0</v>
      </c>
      <c r="AK114" s="69">
        <f t="shared" si="17"/>
        <v>263203.20000000001</v>
      </c>
      <c r="AL114" s="69">
        <f t="shared" si="18"/>
        <v>0</v>
      </c>
      <c r="AM114" s="70" t="s">
        <v>99</v>
      </c>
      <c r="AN114" s="70" t="s">
        <v>59</v>
      </c>
      <c r="AO114" s="70" t="s">
        <v>85</v>
      </c>
    </row>
    <row r="115" spans="1:41" x14ac:dyDescent="0.25">
      <c r="A115" s="70" t="s">
        <v>139</v>
      </c>
      <c r="B115" s="70">
        <v>2017</v>
      </c>
      <c r="C115" s="70" t="s">
        <v>65</v>
      </c>
      <c r="D115" s="70" t="s">
        <v>137</v>
      </c>
      <c r="E115" s="70" t="s">
        <v>141</v>
      </c>
      <c r="F115" s="70">
        <v>5613</v>
      </c>
      <c r="G115" s="70" t="s">
        <v>194</v>
      </c>
      <c r="H115" s="71">
        <v>0</v>
      </c>
      <c r="I115" s="71">
        <v>0</v>
      </c>
      <c r="J115" s="71">
        <v>0</v>
      </c>
      <c r="K115" s="71">
        <v>0</v>
      </c>
      <c r="L115" s="71">
        <v>0</v>
      </c>
      <c r="M115" s="71">
        <v>0</v>
      </c>
      <c r="N115" s="71">
        <v>0</v>
      </c>
      <c r="O115" s="71">
        <v>0</v>
      </c>
      <c r="P115" s="71">
        <v>0</v>
      </c>
      <c r="Q115" s="71">
        <v>40</v>
      </c>
      <c r="R115" s="71">
        <v>56</v>
      </c>
      <c r="S115" s="71">
        <v>0</v>
      </c>
      <c r="T115" s="68">
        <f t="shared" si="10"/>
        <v>96</v>
      </c>
      <c r="U115" s="71">
        <v>0</v>
      </c>
      <c r="V115" s="33">
        <f t="shared" si="11"/>
        <v>0</v>
      </c>
      <c r="W115" s="69">
        <f t="shared" si="12"/>
        <v>350937.59999999998</v>
      </c>
      <c r="X115" s="69">
        <f t="shared" si="13"/>
        <v>0</v>
      </c>
      <c r="Y115" s="70" t="s">
        <v>188</v>
      </c>
      <c r="Z115" s="72">
        <v>3655.6</v>
      </c>
      <c r="AA115" s="70" t="s">
        <v>140</v>
      </c>
      <c r="AB115" s="68">
        <f t="shared" si="14"/>
        <v>-96</v>
      </c>
      <c r="AC115" s="73">
        <v>42977</v>
      </c>
      <c r="AD115" s="73">
        <v>43100</v>
      </c>
      <c r="AE115" s="70" t="s">
        <v>57</v>
      </c>
      <c r="AF115" s="71">
        <v>0</v>
      </c>
      <c r="AG115" s="71">
        <v>0</v>
      </c>
      <c r="AH115" s="32">
        <f t="shared" si="15"/>
        <v>96</v>
      </c>
      <c r="AI115" s="71">
        <v>0</v>
      </c>
      <c r="AJ115" s="33">
        <f t="shared" si="16"/>
        <v>0</v>
      </c>
      <c r="AK115" s="69">
        <f t="shared" si="17"/>
        <v>350937.59999999998</v>
      </c>
      <c r="AL115" s="69">
        <f t="shared" si="18"/>
        <v>0</v>
      </c>
      <c r="AM115" s="70" t="s">
        <v>99</v>
      </c>
      <c r="AN115" s="70" t="s">
        <v>59</v>
      </c>
      <c r="AO115" s="70" t="s">
        <v>85</v>
      </c>
    </row>
    <row r="116" spans="1:41" x14ac:dyDescent="0.25">
      <c r="A116" s="70" t="s">
        <v>136</v>
      </c>
      <c r="B116" s="70">
        <v>2017</v>
      </c>
      <c r="C116" s="70" t="s">
        <v>65</v>
      </c>
      <c r="D116" s="70" t="s">
        <v>137</v>
      </c>
      <c r="E116" s="70" t="s">
        <v>141</v>
      </c>
      <c r="F116" s="70">
        <v>5624</v>
      </c>
      <c r="G116" s="70" t="s">
        <v>191</v>
      </c>
      <c r="H116" s="71">
        <v>0</v>
      </c>
      <c r="I116" s="71">
        <v>0</v>
      </c>
      <c r="J116" s="71">
        <v>0</v>
      </c>
      <c r="K116" s="71">
        <v>0</v>
      </c>
      <c r="L116" s="71">
        <v>0</v>
      </c>
      <c r="M116" s="71">
        <v>5</v>
      </c>
      <c r="N116" s="71">
        <v>0</v>
      </c>
      <c r="O116" s="71">
        <v>5</v>
      </c>
      <c r="P116" s="71">
        <v>0</v>
      </c>
      <c r="Q116" s="71">
        <v>0</v>
      </c>
      <c r="R116" s="71">
        <v>0</v>
      </c>
      <c r="S116" s="71">
        <v>0</v>
      </c>
      <c r="T116" s="68">
        <f t="shared" si="10"/>
        <v>10</v>
      </c>
      <c r="U116" s="71">
        <v>0</v>
      </c>
      <c r="V116" s="33">
        <f t="shared" si="11"/>
        <v>0</v>
      </c>
      <c r="W116" s="69">
        <f t="shared" si="12"/>
        <v>73430</v>
      </c>
      <c r="X116" s="69">
        <f t="shared" si="13"/>
        <v>0</v>
      </c>
      <c r="Y116" s="70" t="s">
        <v>188</v>
      </c>
      <c r="Z116" s="72">
        <v>7343</v>
      </c>
      <c r="AA116" s="70" t="s">
        <v>138</v>
      </c>
      <c r="AB116" s="68">
        <f t="shared" si="14"/>
        <v>-10</v>
      </c>
      <c r="AC116" s="73">
        <v>42711</v>
      </c>
      <c r="AD116" s="73">
        <v>43100</v>
      </c>
      <c r="AE116" s="70" t="s">
        <v>57</v>
      </c>
      <c r="AF116" s="71">
        <v>0</v>
      </c>
      <c r="AG116" s="71">
        <v>0</v>
      </c>
      <c r="AH116" s="32">
        <f t="shared" si="15"/>
        <v>10</v>
      </c>
      <c r="AI116" s="71">
        <v>0</v>
      </c>
      <c r="AJ116" s="33">
        <f t="shared" si="16"/>
        <v>0</v>
      </c>
      <c r="AK116" s="69">
        <f t="shared" si="17"/>
        <v>73430</v>
      </c>
      <c r="AL116" s="69">
        <f t="shared" si="18"/>
        <v>0</v>
      </c>
      <c r="AM116" s="70" t="s">
        <v>99</v>
      </c>
      <c r="AN116" s="70" t="s">
        <v>59</v>
      </c>
      <c r="AO116" s="70" t="s">
        <v>85</v>
      </c>
    </row>
    <row r="117" spans="1:41" x14ac:dyDescent="0.25">
      <c r="A117" s="70" t="s">
        <v>136</v>
      </c>
      <c r="B117" s="70">
        <v>2017</v>
      </c>
      <c r="C117" s="70" t="s">
        <v>65</v>
      </c>
      <c r="D117" s="70" t="s">
        <v>137</v>
      </c>
      <c r="E117" s="70" t="s">
        <v>141</v>
      </c>
      <c r="F117" s="70">
        <v>5627</v>
      </c>
      <c r="G117" s="70" t="s">
        <v>187</v>
      </c>
      <c r="H117" s="71">
        <v>51</v>
      </c>
      <c r="I117" s="71">
        <v>51</v>
      </c>
      <c r="J117" s="71">
        <v>55</v>
      </c>
      <c r="K117" s="71">
        <v>0</v>
      </c>
      <c r="L117" s="71">
        <v>102</v>
      </c>
      <c r="M117" s="71">
        <v>51</v>
      </c>
      <c r="N117" s="71">
        <v>63</v>
      </c>
      <c r="O117" s="71">
        <v>51</v>
      </c>
      <c r="P117" s="71">
        <v>55</v>
      </c>
      <c r="Q117" s="71">
        <v>53</v>
      </c>
      <c r="R117" s="71">
        <v>2</v>
      </c>
      <c r="S117" s="71">
        <v>0</v>
      </c>
      <c r="T117" s="68">
        <f t="shared" si="10"/>
        <v>534</v>
      </c>
      <c r="U117" s="71">
        <v>0</v>
      </c>
      <c r="V117" s="33">
        <f t="shared" si="11"/>
        <v>0</v>
      </c>
      <c r="W117" s="69">
        <f t="shared" si="12"/>
        <v>1401216</v>
      </c>
      <c r="X117" s="69">
        <f t="shared" si="13"/>
        <v>0</v>
      </c>
      <c r="Y117" s="70" t="s">
        <v>188</v>
      </c>
      <c r="Z117" s="72">
        <v>2624</v>
      </c>
      <c r="AA117" s="70" t="s">
        <v>138</v>
      </c>
      <c r="AB117" s="68">
        <f t="shared" si="14"/>
        <v>-534</v>
      </c>
      <c r="AC117" s="73">
        <v>42711</v>
      </c>
      <c r="AD117" s="73">
        <v>43100</v>
      </c>
      <c r="AE117" s="70" t="s">
        <v>57</v>
      </c>
      <c r="AF117" s="71">
        <v>0</v>
      </c>
      <c r="AG117" s="71">
        <v>0</v>
      </c>
      <c r="AH117" s="32">
        <f t="shared" si="15"/>
        <v>534</v>
      </c>
      <c r="AI117" s="71">
        <v>0</v>
      </c>
      <c r="AJ117" s="33">
        <f t="shared" si="16"/>
        <v>0</v>
      </c>
      <c r="AK117" s="69">
        <f t="shared" si="17"/>
        <v>1401216</v>
      </c>
      <c r="AL117" s="69">
        <f t="shared" si="18"/>
        <v>0</v>
      </c>
      <c r="AM117" s="70" t="s">
        <v>99</v>
      </c>
      <c r="AN117" s="70" t="s">
        <v>59</v>
      </c>
      <c r="AO117" s="70" t="s">
        <v>85</v>
      </c>
    </row>
    <row r="118" spans="1:41" x14ac:dyDescent="0.25">
      <c r="A118" s="70" t="s">
        <v>136</v>
      </c>
      <c r="B118" s="70">
        <v>2017</v>
      </c>
      <c r="C118" s="70" t="s">
        <v>65</v>
      </c>
      <c r="D118" s="70" t="s">
        <v>137</v>
      </c>
      <c r="E118" s="70" t="s">
        <v>141</v>
      </c>
      <c r="F118" s="70">
        <v>5632</v>
      </c>
      <c r="G118" s="70" t="s">
        <v>212</v>
      </c>
      <c r="H118" s="71">
        <v>4</v>
      </c>
      <c r="I118" s="71">
        <v>0</v>
      </c>
      <c r="J118" s="71">
        <v>0</v>
      </c>
      <c r="K118" s="71">
        <v>0</v>
      </c>
      <c r="L118" s="71">
        <v>0</v>
      </c>
      <c r="M118" s="71">
        <v>0</v>
      </c>
      <c r="N118" s="71">
        <v>0</v>
      </c>
      <c r="O118" s="71">
        <v>0</v>
      </c>
      <c r="P118" s="71">
        <v>0</v>
      </c>
      <c r="Q118" s="71">
        <v>0</v>
      </c>
      <c r="R118" s="71">
        <v>0</v>
      </c>
      <c r="S118" s="71">
        <v>0</v>
      </c>
      <c r="T118" s="68">
        <f t="shared" si="10"/>
        <v>4</v>
      </c>
      <c r="U118" s="71">
        <v>0</v>
      </c>
      <c r="V118" s="33">
        <f t="shared" si="11"/>
        <v>0</v>
      </c>
      <c r="W118" s="69">
        <f t="shared" si="12"/>
        <v>17712</v>
      </c>
      <c r="X118" s="69">
        <f t="shared" si="13"/>
        <v>0</v>
      </c>
      <c r="Y118" s="70" t="s">
        <v>188</v>
      </c>
      <c r="Z118" s="72">
        <v>4428</v>
      </c>
      <c r="AA118" s="70" t="s">
        <v>138</v>
      </c>
      <c r="AB118" s="68">
        <f t="shared" si="14"/>
        <v>-4</v>
      </c>
      <c r="AC118" s="73">
        <v>42711</v>
      </c>
      <c r="AD118" s="73">
        <v>43100</v>
      </c>
      <c r="AE118" s="70" t="s">
        <v>57</v>
      </c>
      <c r="AF118" s="71">
        <v>0</v>
      </c>
      <c r="AG118" s="71">
        <v>0</v>
      </c>
      <c r="AH118" s="32">
        <f t="shared" si="15"/>
        <v>4</v>
      </c>
      <c r="AI118" s="71">
        <v>0</v>
      </c>
      <c r="AJ118" s="33">
        <f t="shared" si="16"/>
        <v>0</v>
      </c>
      <c r="AK118" s="69">
        <f t="shared" si="17"/>
        <v>17712</v>
      </c>
      <c r="AL118" s="69">
        <f t="shared" si="18"/>
        <v>0</v>
      </c>
      <c r="AM118" s="70" t="s">
        <v>99</v>
      </c>
      <c r="AN118" s="70" t="s">
        <v>59</v>
      </c>
      <c r="AO118" s="70" t="s">
        <v>85</v>
      </c>
    </row>
    <row r="119" spans="1:41" x14ac:dyDescent="0.25">
      <c r="A119" s="70" t="s">
        <v>142</v>
      </c>
      <c r="B119" s="70">
        <v>2017</v>
      </c>
      <c r="C119" s="70" t="s">
        <v>65</v>
      </c>
      <c r="D119" s="70" t="s">
        <v>137</v>
      </c>
      <c r="E119" s="70" t="s">
        <v>141</v>
      </c>
      <c r="F119" s="70">
        <v>5653</v>
      </c>
      <c r="G119" s="70" t="s">
        <v>263</v>
      </c>
      <c r="H119" s="71">
        <v>0</v>
      </c>
      <c r="I119" s="71">
        <v>18</v>
      </c>
      <c r="J119" s="71">
        <v>0</v>
      </c>
      <c r="K119" s="71">
        <v>32</v>
      </c>
      <c r="L119" s="71">
        <v>21</v>
      </c>
      <c r="M119" s="71">
        <v>109</v>
      </c>
      <c r="N119" s="71">
        <v>0</v>
      </c>
      <c r="O119" s="71">
        <v>0</v>
      </c>
      <c r="P119" s="71">
        <v>0</v>
      </c>
      <c r="Q119" s="71">
        <v>18</v>
      </c>
      <c r="R119" s="71">
        <v>18</v>
      </c>
      <c r="S119" s="71">
        <v>0</v>
      </c>
      <c r="T119" s="68">
        <f t="shared" si="10"/>
        <v>216</v>
      </c>
      <c r="U119" s="71">
        <v>0</v>
      </c>
      <c r="V119" s="33">
        <f t="shared" si="11"/>
        <v>0</v>
      </c>
      <c r="W119" s="69">
        <f t="shared" si="12"/>
        <v>1663027.2</v>
      </c>
      <c r="X119" s="69">
        <f t="shared" si="13"/>
        <v>0</v>
      </c>
      <c r="Y119" s="70" t="s">
        <v>188</v>
      </c>
      <c r="Z119" s="72">
        <v>7699.2</v>
      </c>
      <c r="AA119" s="70" t="s">
        <v>143</v>
      </c>
      <c r="AB119" s="68">
        <f t="shared" si="14"/>
        <v>-216</v>
      </c>
      <c r="AC119" s="73">
        <v>42769</v>
      </c>
      <c r="AD119" s="73">
        <v>43100</v>
      </c>
      <c r="AE119" s="70" t="s">
        <v>57</v>
      </c>
      <c r="AF119" s="71">
        <v>0</v>
      </c>
      <c r="AG119" s="71">
        <v>0</v>
      </c>
      <c r="AH119" s="32">
        <f t="shared" si="15"/>
        <v>216</v>
      </c>
      <c r="AI119" s="71">
        <v>0</v>
      </c>
      <c r="AJ119" s="33">
        <f t="shared" si="16"/>
        <v>0</v>
      </c>
      <c r="AK119" s="69">
        <f t="shared" si="17"/>
        <v>1663027.2</v>
      </c>
      <c r="AL119" s="69">
        <f t="shared" si="18"/>
        <v>0</v>
      </c>
      <c r="AM119" s="70" t="s">
        <v>99</v>
      </c>
      <c r="AN119" s="70" t="s">
        <v>59</v>
      </c>
      <c r="AO119" s="70" t="s">
        <v>85</v>
      </c>
    </row>
    <row r="120" spans="1:41" x14ac:dyDescent="0.25">
      <c r="A120" s="70" t="s">
        <v>139</v>
      </c>
      <c r="B120" s="70">
        <v>2017</v>
      </c>
      <c r="C120" s="70" t="s">
        <v>65</v>
      </c>
      <c r="D120" s="70" t="s">
        <v>137</v>
      </c>
      <c r="E120" s="70" t="s">
        <v>141</v>
      </c>
      <c r="F120" s="70">
        <v>5653</v>
      </c>
      <c r="G120" s="70" t="s">
        <v>263</v>
      </c>
      <c r="H120" s="71">
        <v>0</v>
      </c>
      <c r="I120" s="71">
        <v>0</v>
      </c>
      <c r="J120" s="71">
        <v>0</v>
      </c>
      <c r="K120" s="71">
        <v>0</v>
      </c>
      <c r="L120" s="71">
        <v>0</v>
      </c>
      <c r="M120" s="71">
        <v>0</v>
      </c>
      <c r="N120" s="71">
        <v>0</v>
      </c>
      <c r="O120" s="71">
        <v>0</v>
      </c>
      <c r="P120" s="71">
        <v>0</v>
      </c>
      <c r="Q120" s="71">
        <v>0</v>
      </c>
      <c r="R120" s="71">
        <v>18</v>
      </c>
      <c r="S120" s="71">
        <v>0</v>
      </c>
      <c r="T120" s="68">
        <f t="shared" si="10"/>
        <v>18</v>
      </c>
      <c r="U120" s="71">
        <v>0</v>
      </c>
      <c r="V120" s="33">
        <f t="shared" si="11"/>
        <v>0</v>
      </c>
      <c r="W120" s="69">
        <f t="shared" si="12"/>
        <v>138585.60000000001</v>
      </c>
      <c r="X120" s="69">
        <f t="shared" si="13"/>
        <v>0</v>
      </c>
      <c r="Y120" s="70" t="s">
        <v>188</v>
      </c>
      <c r="Z120" s="72">
        <v>7699.2</v>
      </c>
      <c r="AA120" s="70" t="s">
        <v>140</v>
      </c>
      <c r="AB120" s="68">
        <f t="shared" si="14"/>
        <v>-18</v>
      </c>
      <c r="AC120" s="73">
        <v>42977</v>
      </c>
      <c r="AD120" s="73">
        <v>43100</v>
      </c>
      <c r="AE120" s="70" t="s">
        <v>57</v>
      </c>
      <c r="AF120" s="71">
        <v>0</v>
      </c>
      <c r="AG120" s="71">
        <v>0</v>
      </c>
      <c r="AH120" s="32">
        <f t="shared" si="15"/>
        <v>18</v>
      </c>
      <c r="AI120" s="71">
        <v>0</v>
      </c>
      <c r="AJ120" s="33">
        <f t="shared" si="16"/>
        <v>0</v>
      </c>
      <c r="AK120" s="69">
        <f t="shared" si="17"/>
        <v>138585.60000000001</v>
      </c>
      <c r="AL120" s="69">
        <f t="shared" si="18"/>
        <v>0</v>
      </c>
      <c r="AM120" s="70" t="s">
        <v>99</v>
      </c>
      <c r="AN120" s="70" t="s">
        <v>59</v>
      </c>
      <c r="AO120" s="70" t="s">
        <v>85</v>
      </c>
    </row>
    <row r="121" spans="1:41" x14ac:dyDescent="0.25">
      <c r="A121" s="70" t="s">
        <v>136</v>
      </c>
      <c r="B121" s="70">
        <v>2017</v>
      </c>
      <c r="C121" s="70" t="s">
        <v>65</v>
      </c>
      <c r="D121" s="70" t="s">
        <v>137</v>
      </c>
      <c r="E121" s="70" t="s">
        <v>144</v>
      </c>
      <c r="F121" s="70">
        <v>5452</v>
      </c>
      <c r="G121" s="70" t="s">
        <v>221</v>
      </c>
      <c r="H121" s="71">
        <v>10</v>
      </c>
      <c r="I121" s="71">
        <v>5</v>
      </c>
      <c r="J121" s="71">
        <v>0</v>
      </c>
      <c r="K121" s="71">
        <v>0</v>
      </c>
      <c r="L121" s="71">
        <v>0</v>
      </c>
      <c r="M121" s="71">
        <v>10</v>
      </c>
      <c r="N121" s="71">
        <v>15</v>
      </c>
      <c r="O121" s="71">
        <v>0</v>
      </c>
      <c r="P121" s="71">
        <v>5</v>
      </c>
      <c r="Q121" s="71">
        <v>0</v>
      </c>
      <c r="R121" s="71">
        <v>5</v>
      </c>
      <c r="S121" s="71">
        <v>40</v>
      </c>
      <c r="T121" s="68">
        <f t="shared" si="10"/>
        <v>90</v>
      </c>
      <c r="U121" s="71">
        <v>0</v>
      </c>
      <c r="V121" s="33">
        <f t="shared" si="11"/>
        <v>0</v>
      </c>
      <c r="W121" s="69">
        <f t="shared" si="12"/>
        <v>1223422.2</v>
      </c>
      <c r="X121" s="69">
        <f t="shared" si="13"/>
        <v>0</v>
      </c>
      <c r="Y121" s="70" t="s">
        <v>188</v>
      </c>
      <c r="Z121" s="72">
        <v>13593.58</v>
      </c>
      <c r="AA121" s="70" t="s">
        <v>138</v>
      </c>
      <c r="AB121" s="68">
        <f t="shared" si="14"/>
        <v>-90</v>
      </c>
      <c r="AC121" s="73">
        <v>42711</v>
      </c>
      <c r="AD121" s="73">
        <v>43100</v>
      </c>
      <c r="AE121" s="70" t="s">
        <v>57</v>
      </c>
      <c r="AF121" s="71">
        <v>0</v>
      </c>
      <c r="AG121" s="71">
        <v>0</v>
      </c>
      <c r="AH121" s="32">
        <f t="shared" si="15"/>
        <v>90</v>
      </c>
      <c r="AI121" s="71">
        <v>0</v>
      </c>
      <c r="AJ121" s="33">
        <f t="shared" si="16"/>
        <v>0</v>
      </c>
      <c r="AK121" s="69">
        <f t="shared" si="17"/>
        <v>1223422.2</v>
      </c>
      <c r="AL121" s="69">
        <f t="shared" si="18"/>
        <v>0</v>
      </c>
      <c r="AM121" s="70" t="s">
        <v>99</v>
      </c>
      <c r="AN121" s="70" t="s">
        <v>59</v>
      </c>
      <c r="AO121" s="70" t="s">
        <v>85</v>
      </c>
    </row>
    <row r="122" spans="1:41" x14ac:dyDescent="0.25">
      <c r="A122" s="70" t="s">
        <v>265</v>
      </c>
      <c r="B122" s="70">
        <v>2017</v>
      </c>
      <c r="C122" s="70" t="s">
        <v>65</v>
      </c>
      <c r="D122" s="70" t="s">
        <v>137</v>
      </c>
      <c r="E122" s="70" t="s">
        <v>144</v>
      </c>
      <c r="F122" s="70">
        <v>5613</v>
      </c>
      <c r="G122" s="70" t="s">
        <v>194</v>
      </c>
      <c r="H122" s="71">
        <v>0</v>
      </c>
      <c r="I122" s="71">
        <v>0</v>
      </c>
      <c r="J122" s="71">
        <v>0</v>
      </c>
      <c r="K122" s="71">
        <v>0</v>
      </c>
      <c r="L122" s="71">
        <v>0</v>
      </c>
      <c r="M122" s="71">
        <v>0</v>
      </c>
      <c r="N122" s="71">
        <v>0</v>
      </c>
      <c r="O122" s="71">
        <v>0</v>
      </c>
      <c r="P122" s="71">
        <v>0</v>
      </c>
      <c r="Q122" s="71">
        <v>0</v>
      </c>
      <c r="R122" s="71">
        <v>1</v>
      </c>
      <c r="S122" s="71">
        <v>0</v>
      </c>
      <c r="T122" s="68">
        <f t="shared" si="10"/>
        <v>1</v>
      </c>
      <c r="U122" s="71">
        <v>1</v>
      </c>
      <c r="V122" s="33">
        <f t="shared" si="11"/>
        <v>1</v>
      </c>
      <c r="W122" s="69">
        <f t="shared" si="12"/>
        <v>3655.6</v>
      </c>
      <c r="X122" s="69">
        <f t="shared" si="13"/>
        <v>3655.6</v>
      </c>
      <c r="Y122" s="70" t="s">
        <v>188</v>
      </c>
      <c r="Z122" s="72">
        <v>3655.6</v>
      </c>
      <c r="AA122" s="70" t="s">
        <v>266</v>
      </c>
      <c r="AB122" s="68">
        <f t="shared" si="14"/>
        <v>0</v>
      </c>
      <c r="AC122" s="73">
        <v>43045</v>
      </c>
      <c r="AD122" s="73">
        <v>43075</v>
      </c>
      <c r="AE122" s="70" t="s">
        <v>57</v>
      </c>
      <c r="AF122" s="71">
        <v>0</v>
      </c>
      <c r="AG122" s="71">
        <v>0</v>
      </c>
      <c r="AH122" s="32">
        <f t="shared" si="15"/>
        <v>1</v>
      </c>
      <c r="AI122" s="71">
        <v>1</v>
      </c>
      <c r="AJ122" s="33">
        <f t="shared" si="16"/>
        <v>1</v>
      </c>
      <c r="AK122" s="69">
        <f t="shared" si="17"/>
        <v>3655.6</v>
      </c>
      <c r="AL122" s="69">
        <f t="shared" si="18"/>
        <v>3655.6</v>
      </c>
      <c r="AM122" s="70" t="s">
        <v>99</v>
      </c>
      <c r="AN122" s="70" t="s">
        <v>82</v>
      </c>
      <c r="AO122" s="70" t="s">
        <v>85</v>
      </c>
    </row>
    <row r="123" spans="1:41" x14ac:dyDescent="0.25">
      <c r="A123" s="70" t="s">
        <v>136</v>
      </c>
      <c r="B123" s="70">
        <v>2017</v>
      </c>
      <c r="C123" s="70" t="s">
        <v>65</v>
      </c>
      <c r="D123" s="70" t="s">
        <v>137</v>
      </c>
      <c r="E123" s="70" t="s">
        <v>144</v>
      </c>
      <c r="F123" s="70">
        <v>5613</v>
      </c>
      <c r="G123" s="70" t="s">
        <v>194</v>
      </c>
      <c r="H123" s="71">
        <v>0</v>
      </c>
      <c r="I123" s="71">
        <v>0</v>
      </c>
      <c r="J123" s="71">
        <v>6</v>
      </c>
      <c r="K123" s="71">
        <v>0</v>
      </c>
      <c r="L123" s="71">
        <v>0</v>
      </c>
      <c r="M123" s="71">
        <v>6</v>
      </c>
      <c r="N123" s="71">
        <v>0</v>
      </c>
      <c r="O123" s="71">
        <v>0</v>
      </c>
      <c r="P123" s="71">
        <v>0</v>
      </c>
      <c r="Q123" s="71">
        <v>0</v>
      </c>
      <c r="R123" s="71">
        <v>0</v>
      </c>
      <c r="S123" s="71">
        <v>0</v>
      </c>
      <c r="T123" s="68">
        <f t="shared" si="10"/>
        <v>12</v>
      </c>
      <c r="U123" s="71">
        <v>0</v>
      </c>
      <c r="V123" s="33">
        <f t="shared" si="11"/>
        <v>0</v>
      </c>
      <c r="W123" s="69">
        <f t="shared" si="12"/>
        <v>43867.199999999997</v>
      </c>
      <c r="X123" s="69">
        <f t="shared" si="13"/>
        <v>0</v>
      </c>
      <c r="Y123" s="70" t="s">
        <v>188</v>
      </c>
      <c r="Z123" s="72">
        <v>3655.6</v>
      </c>
      <c r="AA123" s="70" t="s">
        <v>138</v>
      </c>
      <c r="AB123" s="68">
        <f t="shared" si="14"/>
        <v>-12</v>
      </c>
      <c r="AC123" s="73">
        <v>42711</v>
      </c>
      <c r="AD123" s="73">
        <v>43100</v>
      </c>
      <c r="AE123" s="70" t="s">
        <v>57</v>
      </c>
      <c r="AF123" s="71">
        <v>0</v>
      </c>
      <c r="AG123" s="71">
        <v>0</v>
      </c>
      <c r="AH123" s="32">
        <f t="shared" si="15"/>
        <v>12</v>
      </c>
      <c r="AI123" s="71">
        <v>0</v>
      </c>
      <c r="AJ123" s="33">
        <f t="shared" si="16"/>
        <v>0</v>
      </c>
      <c r="AK123" s="69">
        <f t="shared" si="17"/>
        <v>43867.199999999997</v>
      </c>
      <c r="AL123" s="69">
        <f t="shared" si="18"/>
        <v>0</v>
      </c>
      <c r="AM123" s="70" t="s">
        <v>99</v>
      </c>
      <c r="AN123" s="70" t="s">
        <v>59</v>
      </c>
      <c r="AO123" s="70" t="s">
        <v>85</v>
      </c>
    </row>
    <row r="124" spans="1:41" x14ac:dyDescent="0.25">
      <c r="A124" s="70" t="s">
        <v>136</v>
      </c>
      <c r="B124" s="70">
        <v>2017</v>
      </c>
      <c r="C124" s="70" t="s">
        <v>65</v>
      </c>
      <c r="D124" s="70" t="s">
        <v>137</v>
      </c>
      <c r="E124" s="70" t="s">
        <v>144</v>
      </c>
      <c r="F124" s="70">
        <v>5624</v>
      </c>
      <c r="G124" s="70" t="s">
        <v>191</v>
      </c>
      <c r="H124" s="71">
        <v>8</v>
      </c>
      <c r="I124" s="71">
        <v>2</v>
      </c>
      <c r="J124" s="71">
        <v>2</v>
      </c>
      <c r="K124" s="71">
        <v>0</v>
      </c>
      <c r="L124" s="71">
        <v>0</v>
      </c>
      <c r="M124" s="71">
        <v>0</v>
      </c>
      <c r="N124" s="71">
        <v>0</v>
      </c>
      <c r="O124" s="71">
        <v>0</v>
      </c>
      <c r="P124" s="71">
        <v>0</v>
      </c>
      <c r="Q124" s="71">
        <v>0</v>
      </c>
      <c r="R124" s="71">
        <v>0</v>
      </c>
      <c r="S124" s="71">
        <v>0</v>
      </c>
      <c r="T124" s="68">
        <f t="shared" si="10"/>
        <v>12</v>
      </c>
      <c r="U124" s="71">
        <v>0</v>
      </c>
      <c r="V124" s="33">
        <f t="shared" si="11"/>
        <v>0</v>
      </c>
      <c r="W124" s="69">
        <f t="shared" si="12"/>
        <v>88116</v>
      </c>
      <c r="X124" s="69">
        <f t="shared" si="13"/>
        <v>0</v>
      </c>
      <c r="Y124" s="70" t="s">
        <v>188</v>
      </c>
      <c r="Z124" s="72">
        <v>7343</v>
      </c>
      <c r="AA124" s="70" t="s">
        <v>138</v>
      </c>
      <c r="AB124" s="68">
        <f t="shared" si="14"/>
        <v>-12</v>
      </c>
      <c r="AC124" s="73">
        <v>42711</v>
      </c>
      <c r="AD124" s="73">
        <v>43100</v>
      </c>
      <c r="AE124" s="70" t="s">
        <v>57</v>
      </c>
      <c r="AF124" s="71">
        <v>0</v>
      </c>
      <c r="AG124" s="71">
        <v>0</v>
      </c>
      <c r="AH124" s="32">
        <f t="shared" si="15"/>
        <v>12</v>
      </c>
      <c r="AI124" s="71">
        <v>0</v>
      </c>
      <c r="AJ124" s="33">
        <f t="shared" si="16"/>
        <v>0</v>
      </c>
      <c r="AK124" s="69">
        <f t="shared" si="17"/>
        <v>88116</v>
      </c>
      <c r="AL124" s="69">
        <f t="shared" si="18"/>
        <v>0</v>
      </c>
      <c r="AM124" s="70" t="s">
        <v>99</v>
      </c>
      <c r="AN124" s="70" t="s">
        <v>59</v>
      </c>
      <c r="AO124" s="70" t="s">
        <v>85</v>
      </c>
    </row>
    <row r="125" spans="1:41" x14ac:dyDescent="0.25">
      <c r="A125" s="70" t="s">
        <v>142</v>
      </c>
      <c r="B125" s="70">
        <v>2017</v>
      </c>
      <c r="C125" s="70" t="s">
        <v>65</v>
      </c>
      <c r="D125" s="70" t="s">
        <v>137</v>
      </c>
      <c r="E125" s="70" t="s">
        <v>144</v>
      </c>
      <c r="F125" s="70">
        <v>5653</v>
      </c>
      <c r="G125" s="70" t="s">
        <v>263</v>
      </c>
      <c r="H125" s="71">
        <v>0</v>
      </c>
      <c r="I125" s="71">
        <v>0</v>
      </c>
      <c r="J125" s="71">
        <v>0</v>
      </c>
      <c r="K125" s="71">
        <v>0</v>
      </c>
      <c r="L125" s="71">
        <v>0</v>
      </c>
      <c r="M125" s="71">
        <v>0</v>
      </c>
      <c r="N125" s="71">
        <v>0</v>
      </c>
      <c r="O125" s="71">
        <v>0</v>
      </c>
      <c r="P125" s="71">
        <v>0</v>
      </c>
      <c r="Q125" s="71">
        <v>0</v>
      </c>
      <c r="R125" s="71">
        <v>0</v>
      </c>
      <c r="S125" s="71">
        <v>0</v>
      </c>
      <c r="T125" s="68">
        <f t="shared" si="10"/>
        <v>0</v>
      </c>
      <c r="U125" s="71">
        <v>180</v>
      </c>
      <c r="V125" s="33">
        <f t="shared" si="11"/>
        <v>0</v>
      </c>
      <c r="W125" s="69">
        <f t="shared" si="12"/>
        <v>0</v>
      </c>
      <c r="X125" s="69">
        <f t="shared" si="13"/>
        <v>1385856</v>
      </c>
      <c r="Y125" s="70" t="s">
        <v>188</v>
      </c>
      <c r="Z125" s="72">
        <v>7699.2</v>
      </c>
      <c r="AA125" s="70" t="s">
        <v>143</v>
      </c>
      <c r="AB125" s="68">
        <f t="shared" si="14"/>
        <v>180</v>
      </c>
      <c r="AC125" s="73">
        <v>42769</v>
      </c>
      <c r="AD125" s="73">
        <v>43100</v>
      </c>
      <c r="AE125" s="70" t="s">
        <v>57</v>
      </c>
      <c r="AF125" s="71">
        <v>0</v>
      </c>
      <c r="AG125" s="71">
        <v>0</v>
      </c>
      <c r="AH125" s="32">
        <f t="shared" si="15"/>
        <v>0</v>
      </c>
      <c r="AI125" s="71">
        <v>180</v>
      </c>
      <c r="AJ125" s="33">
        <f t="shared" si="16"/>
        <v>0</v>
      </c>
      <c r="AK125" s="69">
        <f t="shared" si="17"/>
        <v>0</v>
      </c>
      <c r="AL125" s="69">
        <f t="shared" si="18"/>
        <v>1385856</v>
      </c>
      <c r="AM125" s="70" t="s">
        <v>99</v>
      </c>
      <c r="AN125" s="70" t="s">
        <v>59</v>
      </c>
      <c r="AO125" s="70" t="s">
        <v>85</v>
      </c>
    </row>
    <row r="126" spans="1:41" x14ac:dyDescent="0.25">
      <c r="A126" s="70" t="s">
        <v>167</v>
      </c>
      <c r="B126" s="70">
        <v>2017</v>
      </c>
      <c r="C126" s="70" t="s">
        <v>65</v>
      </c>
      <c r="D126" s="70" t="s">
        <v>100</v>
      </c>
      <c r="E126" s="70" t="s">
        <v>100</v>
      </c>
      <c r="F126" s="70">
        <v>5452</v>
      </c>
      <c r="G126" s="70" t="s">
        <v>221</v>
      </c>
      <c r="H126" s="71">
        <v>0</v>
      </c>
      <c r="I126" s="71">
        <v>0</v>
      </c>
      <c r="J126" s="71">
        <v>40</v>
      </c>
      <c r="K126" s="71">
        <v>9</v>
      </c>
      <c r="L126" s="71">
        <v>0</v>
      </c>
      <c r="M126" s="71">
        <v>12</v>
      </c>
      <c r="N126" s="71">
        <v>0</v>
      </c>
      <c r="O126" s="71">
        <v>28</v>
      </c>
      <c r="P126" s="71">
        <v>40</v>
      </c>
      <c r="Q126" s="71">
        <v>0</v>
      </c>
      <c r="R126" s="71">
        <v>5</v>
      </c>
      <c r="S126" s="71">
        <v>0</v>
      </c>
      <c r="T126" s="68">
        <f t="shared" si="10"/>
        <v>134</v>
      </c>
      <c r="U126" s="71">
        <v>394</v>
      </c>
      <c r="V126" s="33">
        <f t="shared" si="11"/>
        <v>0.34010152284263961</v>
      </c>
      <c r="W126" s="69">
        <f t="shared" si="12"/>
        <v>1821462</v>
      </c>
      <c r="X126" s="69">
        <f t="shared" si="13"/>
        <v>5355642</v>
      </c>
      <c r="Y126" s="70" t="s">
        <v>188</v>
      </c>
      <c r="Z126" s="72">
        <v>13593</v>
      </c>
      <c r="AA126" s="70" t="s">
        <v>168</v>
      </c>
      <c r="AB126" s="68">
        <f t="shared" si="14"/>
        <v>260</v>
      </c>
      <c r="AC126" s="73">
        <v>42790</v>
      </c>
      <c r="AD126" s="73">
        <v>43100</v>
      </c>
      <c r="AE126" s="70" t="s">
        <v>57</v>
      </c>
      <c r="AF126" s="71">
        <v>0</v>
      </c>
      <c r="AG126" s="71">
        <v>0</v>
      </c>
      <c r="AH126" s="32">
        <f t="shared" si="15"/>
        <v>134</v>
      </c>
      <c r="AI126" s="71">
        <v>305</v>
      </c>
      <c r="AJ126" s="33">
        <f t="shared" si="16"/>
        <v>0.43934426229508194</v>
      </c>
      <c r="AK126" s="69">
        <f t="shared" si="17"/>
        <v>1821462</v>
      </c>
      <c r="AL126" s="69">
        <f t="shared" si="18"/>
        <v>4145865</v>
      </c>
      <c r="AM126" s="70" t="s">
        <v>74</v>
      </c>
      <c r="AN126" s="70" t="s">
        <v>59</v>
      </c>
      <c r="AO126" s="70" t="s">
        <v>85</v>
      </c>
    </row>
    <row r="127" spans="1:41" x14ac:dyDescent="0.25">
      <c r="A127" s="70" t="s">
        <v>167</v>
      </c>
      <c r="B127" s="70">
        <v>2017</v>
      </c>
      <c r="C127" s="70" t="s">
        <v>65</v>
      </c>
      <c r="D127" s="70" t="s">
        <v>100</v>
      </c>
      <c r="E127" s="70" t="s">
        <v>100</v>
      </c>
      <c r="F127" s="70">
        <v>5613</v>
      </c>
      <c r="G127" s="70" t="s">
        <v>194</v>
      </c>
      <c r="H127" s="71">
        <v>0</v>
      </c>
      <c r="I127" s="71">
        <v>0</v>
      </c>
      <c r="J127" s="71">
        <v>160</v>
      </c>
      <c r="K127" s="71">
        <v>36</v>
      </c>
      <c r="L127" s="71">
        <v>90</v>
      </c>
      <c r="M127" s="71">
        <v>115</v>
      </c>
      <c r="N127" s="71">
        <v>0</v>
      </c>
      <c r="O127" s="71">
        <v>168</v>
      </c>
      <c r="P127" s="71">
        <v>160</v>
      </c>
      <c r="Q127" s="71">
        <v>0</v>
      </c>
      <c r="R127" s="71">
        <v>0</v>
      </c>
      <c r="S127" s="71">
        <v>0</v>
      </c>
      <c r="T127" s="68">
        <f t="shared" si="10"/>
        <v>729</v>
      </c>
      <c r="U127" s="71">
        <v>1380</v>
      </c>
      <c r="V127" s="33">
        <f t="shared" si="11"/>
        <v>0.52826086956521734</v>
      </c>
      <c r="W127" s="69">
        <f t="shared" si="12"/>
        <v>2664932.4</v>
      </c>
      <c r="X127" s="69">
        <f t="shared" si="13"/>
        <v>5044728</v>
      </c>
      <c r="Y127" s="70" t="s">
        <v>188</v>
      </c>
      <c r="Z127" s="72">
        <v>3655.6</v>
      </c>
      <c r="AA127" s="70" t="s">
        <v>168</v>
      </c>
      <c r="AB127" s="68">
        <f t="shared" si="14"/>
        <v>651</v>
      </c>
      <c r="AC127" s="73">
        <v>42790</v>
      </c>
      <c r="AD127" s="73">
        <v>43100</v>
      </c>
      <c r="AE127" s="70" t="s">
        <v>57</v>
      </c>
      <c r="AF127" s="71">
        <v>0</v>
      </c>
      <c r="AG127" s="71">
        <v>0</v>
      </c>
      <c r="AH127" s="32">
        <f t="shared" si="15"/>
        <v>729</v>
      </c>
      <c r="AI127" s="71">
        <v>780</v>
      </c>
      <c r="AJ127" s="33">
        <f t="shared" si="16"/>
        <v>0.93461538461538463</v>
      </c>
      <c r="AK127" s="69">
        <f t="shared" si="17"/>
        <v>2664932.4</v>
      </c>
      <c r="AL127" s="69">
        <f t="shared" si="18"/>
        <v>2851368</v>
      </c>
      <c r="AM127" s="70" t="s">
        <v>74</v>
      </c>
      <c r="AN127" s="70" t="s">
        <v>59</v>
      </c>
      <c r="AO127" s="70" t="s">
        <v>85</v>
      </c>
    </row>
    <row r="128" spans="1:41" x14ac:dyDescent="0.25">
      <c r="A128" s="70" t="s">
        <v>167</v>
      </c>
      <c r="B128" s="70">
        <v>2017</v>
      </c>
      <c r="C128" s="70" t="s">
        <v>65</v>
      </c>
      <c r="D128" s="70" t="s">
        <v>100</v>
      </c>
      <c r="E128" s="70" t="s">
        <v>100</v>
      </c>
      <c r="F128" s="70">
        <v>5624</v>
      </c>
      <c r="G128" s="70" t="s">
        <v>191</v>
      </c>
      <c r="H128" s="71">
        <v>0</v>
      </c>
      <c r="I128" s="71">
        <v>0</v>
      </c>
      <c r="J128" s="71">
        <v>4</v>
      </c>
      <c r="K128" s="71">
        <v>0</v>
      </c>
      <c r="L128" s="71">
        <v>0</v>
      </c>
      <c r="M128" s="71">
        <v>0</v>
      </c>
      <c r="N128" s="71">
        <v>0</v>
      </c>
      <c r="O128" s="71">
        <v>0</v>
      </c>
      <c r="P128" s="71">
        <v>4</v>
      </c>
      <c r="Q128" s="71">
        <v>0</v>
      </c>
      <c r="R128" s="71">
        <v>0</v>
      </c>
      <c r="S128" s="71">
        <v>0</v>
      </c>
      <c r="T128" s="68">
        <f t="shared" si="10"/>
        <v>8</v>
      </c>
      <c r="U128" s="71">
        <v>66</v>
      </c>
      <c r="V128" s="33">
        <f t="shared" si="11"/>
        <v>0.12121212121212122</v>
      </c>
      <c r="W128" s="69">
        <f t="shared" si="12"/>
        <v>58744</v>
      </c>
      <c r="X128" s="69">
        <f t="shared" si="13"/>
        <v>484638</v>
      </c>
      <c r="Y128" s="70" t="s">
        <v>188</v>
      </c>
      <c r="Z128" s="72">
        <v>7343</v>
      </c>
      <c r="AA128" s="70" t="s">
        <v>168</v>
      </c>
      <c r="AB128" s="68">
        <f t="shared" si="14"/>
        <v>58</v>
      </c>
      <c r="AC128" s="73">
        <v>42790</v>
      </c>
      <c r="AD128" s="73">
        <v>43100</v>
      </c>
      <c r="AE128" s="70" t="s">
        <v>57</v>
      </c>
      <c r="AF128" s="71">
        <v>0</v>
      </c>
      <c r="AG128" s="71">
        <v>0</v>
      </c>
      <c r="AH128" s="32">
        <f t="shared" si="15"/>
        <v>8</v>
      </c>
      <c r="AI128" s="71">
        <v>33</v>
      </c>
      <c r="AJ128" s="33">
        <f t="shared" si="16"/>
        <v>0.24242424242424243</v>
      </c>
      <c r="AK128" s="69">
        <f t="shared" si="17"/>
        <v>58744</v>
      </c>
      <c r="AL128" s="69">
        <f t="shared" si="18"/>
        <v>242319</v>
      </c>
      <c r="AM128" s="70" t="s">
        <v>74</v>
      </c>
      <c r="AN128" s="70" t="s">
        <v>59</v>
      </c>
      <c r="AO128" s="70" t="s">
        <v>85</v>
      </c>
    </row>
    <row r="129" spans="1:41" x14ac:dyDescent="0.25">
      <c r="A129" s="70">
        <v>184026</v>
      </c>
      <c r="B129" s="70">
        <v>2017</v>
      </c>
      <c r="C129" s="70" t="s">
        <v>65</v>
      </c>
      <c r="D129" s="70" t="s">
        <v>100</v>
      </c>
      <c r="E129" s="70" t="s">
        <v>100</v>
      </c>
      <c r="F129" s="70">
        <v>5627</v>
      </c>
      <c r="G129" s="70" t="s">
        <v>187</v>
      </c>
      <c r="H129" s="71">
        <v>0</v>
      </c>
      <c r="I129" s="71">
        <v>0</v>
      </c>
      <c r="J129" s="71">
        <v>0</v>
      </c>
      <c r="K129" s="71">
        <v>0</v>
      </c>
      <c r="L129" s="71">
        <v>0</v>
      </c>
      <c r="M129" s="71">
        <v>0</v>
      </c>
      <c r="N129" s="71">
        <v>0</v>
      </c>
      <c r="O129" s="71">
        <v>0</v>
      </c>
      <c r="P129" s="71">
        <v>0</v>
      </c>
      <c r="Q129" s="71">
        <v>0</v>
      </c>
      <c r="R129" s="71">
        <v>0</v>
      </c>
      <c r="S129" s="71">
        <v>57</v>
      </c>
      <c r="T129" s="68">
        <f t="shared" si="10"/>
        <v>57</v>
      </c>
      <c r="U129" s="71">
        <v>57</v>
      </c>
      <c r="V129" s="33">
        <f t="shared" si="11"/>
        <v>1</v>
      </c>
      <c r="W129" s="69">
        <f t="shared" si="12"/>
        <v>149568</v>
      </c>
      <c r="X129" s="69">
        <f t="shared" si="13"/>
        <v>149568</v>
      </c>
      <c r="Y129" s="70" t="s">
        <v>188</v>
      </c>
      <c r="Z129" s="72">
        <v>2624</v>
      </c>
      <c r="AA129" s="70" t="s">
        <v>267</v>
      </c>
      <c r="AB129" s="68">
        <f t="shared" si="14"/>
        <v>0</v>
      </c>
      <c r="AC129" s="73">
        <v>43067</v>
      </c>
      <c r="AD129" s="73">
        <v>43079</v>
      </c>
      <c r="AE129" s="70" t="s">
        <v>57</v>
      </c>
      <c r="AF129" s="71">
        <v>0</v>
      </c>
      <c r="AG129" s="71">
        <v>0</v>
      </c>
      <c r="AH129" s="32">
        <f t="shared" si="15"/>
        <v>57</v>
      </c>
      <c r="AI129" s="71">
        <v>57</v>
      </c>
      <c r="AJ129" s="33">
        <f t="shared" si="16"/>
        <v>1</v>
      </c>
      <c r="AK129" s="69">
        <f t="shared" si="17"/>
        <v>149568</v>
      </c>
      <c r="AL129" s="69">
        <f t="shared" si="18"/>
        <v>149568</v>
      </c>
      <c r="AM129" s="70" t="s">
        <v>74</v>
      </c>
      <c r="AN129" s="70" t="s">
        <v>82</v>
      </c>
      <c r="AO129" s="70" t="s">
        <v>85</v>
      </c>
    </row>
    <row r="130" spans="1:41" x14ac:dyDescent="0.25">
      <c r="A130" s="70" t="s">
        <v>167</v>
      </c>
      <c r="B130" s="70">
        <v>2017</v>
      </c>
      <c r="C130" s="70" t="s">
        <v>65</v>
      </c>
      <c r="D130" s="70" t="s">
        <v>100</v>
      </c>
      <c r="E130" s="70" t="s">
        <v>100</v>
      </c>
      <c r="F130" s="70">
        <v>5627</v>
      </c>
      <c r="G130" s="70" t="s">
        <v>187</v>
      </c>
      <c r="H130" s="71">
        <v>0</v>
      </c>
      <c r="I130" s="71">
        <v>0</v>
      </c>
      <c r="J130" s="71">
        <v>155</v>
      </c>
      <c r="K130" s="71">
        <v>75</v>
      </c>
      <c r="L130" s="71">
        <v>198</v>
      </c>
      <c r="M130" s="71">
        <v>0</v>
      </c>
      <c r="N130" s="71">
        <v>0</v>
      </c>
      <c r="O130" s="71">
        <v>0</v>
      </c>
      <c r="P130" s="71">
        <v>128</v>
      </c>
      <c r="Q130" s="71">
        <v>0</v>
      </c>
      <c r="R130" s="71">
        <v>0</v>
      </c>
      <c r="S130" s="71">
        <v>0</v>
      </c>
      <c r="T130" s="68">
        <f t="shared" si="10"/>
        <v>556</v>
      </c>
      <c r="U130" s="71">
        <v>984</v>
      </c>
      <c r="V130" s="33">
        <f t="shared" si="11"/>
        <v>0.56504065040650409</v>
      </c>
      <c r="W130" s="69">
        <f t="shared" si="12"/>
        <v>1458944</v>
      </c>
      <c r="X130" s="69">
        <f t="shared" si="13"/>
        <v>2582016</v>
      </c>
      <c r="Y130" s="70" t="s">
        <v>188</v>
      </c>
      <c r="Z130" s="72">
        <v>2624</v>
      </c>
      <c r="AA130" s="70" t="s">
        <v>168</v>
      </c>
      <c r="AB130" s="68">
        <f t="shared" si="14"/>
        <v>428</v>
      </c>
      <c r="AC130" s="73">
        <v>42790</v>
      </c>
      <c r="AD130" s="73">
        <v>43100</v>
      </c>
      <c r="AE130" s="70" t="s">
        <v>57</v>
      </c>
      <c r="AF130" s="71">
        <v>0</v>
      </c>
      <c r="AG130" s="71">
        <v>0</v>
      </c>
      <c r="AH130" s="32">
        <f t="shared" si="15"/>
        <v>556</v>
      </c>
      <c r="AI130" s="71">
        <v>556</v>
      </c>
      <c r="AJ130" s="33">
        <f t="shared" si="16"/>
        <v>1</v>
      </c>
      <c r="AK130" s="69">
        <f t="shared" si="17"/>
        <v>1458944</v>
      </c>
      <c r="AL130" s="69">
        <f t="shared" si="18"/>
        <v>1458944</v>
      </c>
      <c r="AM130" s="70" t="s">
        <v>74</v>
      </c>
      <c r="AN130" s="70" t="s">
        <v>59</v>
      </c>
      <c r="AO130" s="70" t="s">
        <v>85</v>
      </c>
    </row>
    <row r="131" spans="1:41" x14ac:dyDescent="0.25">
      <c r="A131" s="70" t="s">
        <v>167</v>
      </c>
      <c r="B131" s="70">
        <v>2017</v>
      </c>
      <c r="C131" s="70" t="s">
        <v>65</v>
      </c>
      <c r="D131" s="70" t="s">
        <v>100</v>
      </c>
      <c r="E131" s="70" t="s">
        <v>100</v>
      </c>
      <c r="F131" s="70">
        <v>5628</v>
      </c>
      <c r="G131" s="70" t="s">
        <v>219</v>
      </c>
      <c r="H131" s="71">
        <v>0</v>
      </c>
      <c r="I131" s="71">
        <v>0</v>
      </c>
      <c r="J131" s="71">
        <v>170</v>
      </c>
      <c r="K131" s="71">
        <v>0</v>
      </c>
      <c r="L131" s="71">
        <v>73</v>
      </c>
      <c r="M131" s="71">
        <v>100</v>
      </c>
      <c r="N131" s="71">
        <v>0</v>
      </c>
      <c r="O131" s="71">
        <v>0</v>
      </c>
      <c r="P131" s="71">
        <v>130</v>
      </c>
      <c r="Q131" s="71">
        <v>0</v>
      </c>
      <c r="R131" s="71">
        <v>159</v>
      </c>
      <c r="S131" s="71">
        <v>0</v>
      </c>
      <c r="T131" s="68">
        <f t="shared" ref="T131:T194" si="19">SUM(H131:S131)</f>
        <v>632</v>
      </c>
      <c r="U131" s="71">
        <v>1350</v>
      </c>
      <c r="V131" s="33">
        <f t="shared" ref="V131:V194" si="20">IF(ISERROR(T131/U131),0,(T131/U131))</f>
        <v>0.46814814814814815</v>
      </c>
      <c r="W131" s="69">
        <f t="shared" ref="W131:W194" si="21">T131*Z131</f>
        <v>2730240</v>
      </c>
      <c r="X131" s="69">
        <f t="shared" ref="X131:X194" si="22">U131*Z131</f>
        <v>5832000</v>
      </c>
      <c r="Y131" s="70" t="s">
        <v>188</v>
      </c>
      <c r="Z131" s="72">
        <v>4320</v>
      </c>
      <c r="AA131" s="70" t="s">
        <v>168</v>
      </c>
      <c r="AB131" s="68">
        <f t="shared" ref="AB131:AB194" si="23">U131-T131</f>
        <v>718</v>
      </c>
      <c r="AC131" s="73">
        <v>42790</v>
      </c>
      <c r="AD131" s="73">
        <v>43100</v>
      </c>
      <c r="AE131" s="70" t="s">
        <v>57</v>
      </c>
      <c r="AF131" s="71">
        <v>0</v>
      </c>
      <c r="AG131" s="71">
        <v>0</v>
      </c>
      <c r="AH131" s="32">
        <f t="shared" ref="AH131:AH194" si="24">T131+AF131+AG131</f>
        <v>632</v>
      </c>
      <c r="AI131" s="71">
        <v>675</v>
      </c>
      <c r="AJ131" s="33">
        <f t="shared" ref="AJ131:AJ194" si="25">IF(ISERROR(AH131/AI131),0,(AH131/AI131))</f>
        <v>0.93629629629629629</v>
      </c>
      <c r="AK131" s="69">
        <f t="shared" ref="AK131:AK194" si="26">AH131*Z131</f>
        <v>2730240</v>
      </c>
      <c r="AL131" s="69">
        <f t="shared" ref="AL131:AL194" si="27">AI131*Z131</f>
        <v>2916000</v>
      </c>
      <c r="AM131" s="70" t="s">
        <v>74</v>
      </c>
      <c r="AN131" s="70" t="s">
        <v>59</v>
      </c>
      <c r="AO131" s="70" t="s">
        <v>85</v>
      </c>
    </row>
    <row r="132" spans="1:41" x14ac:dyDescent="0.25">
      <c r="A132" s="70">
        <v>54689</v>
      </c>
      <c r="B132" s="70">
        <v>2017</v>
      </c>
      <c r="C132" s="70" t="s">
        <v>65</v>
      </c>
      <c r="D132" s="70" t="s">
        <v>100</v>
      </c>
      <c r="E132" s="70" t="s">
        <v>100</v>
      </c>
      <c r="F132" s="70">
        <v>5632</v>
      </c>
      <c r="G132" s="70" t="s">
        <v>212</v>
      </c>
      <c r="H132" s="71">
        <v>0</v>
      </c>
      <c r="I132" s="71">
        <v>0</v>
      </c>
      <c r="J132" s="71">
        <v>0</v>
      </c>
      <c r="K132" s="71">
        <v>0</v>
      </c>
      <c r="L132" s="71">
        <v>0</v>
      </c>
      <c r="M132" s="71">
        <v>0</v>
      </c>
      <c r="N132" s="71">
        <v>0</v>
      </c>
      <c r="O132" s="71">
        <v>0</v>
      </c>
      <c r="P132" s="71">
        <v>0</v>
      </c>
      <c r="Q132" s="71">
        <v>0</v>
      </c>
      <c r="R132" s="71">
        <v>7</v>
      </c>
      <c r="S132" s="71">
        <v>0</v>
      </c>
      <c r="T132" s="68">
        <f t="shared" si="19"/>
        <v>7</v>
      </c>
      <c r="U132" s="71">
        <v>7</v>
      </c>
      <c r="V132" s="33">
        <f t="shared" si="20"/>
        <v>1</v>
      </c>
      <c r="W132" s="69">
        <f t="shared" si="21"/>
        <v>30996</v>
      </c>
      <c r="X132" s="69">
        <f t="shared" si="22"/>
        <v>30996</v>
      </c>
      <c r="Y132" s="70" t="s">
        <v>188</v>
      </c>
      <c r="Z132" s="72">
        <v>4428</v>
      </c>
      <c r="AA132" s="70" t="s">
        <v>268</v>
      </c>
      <c r="AB132" s="68">
        <f t="shared" si="23"/>
        <v>0</v>
      </c>
      <c r="AC132" s="73">
        <v>43042</v>
      </c>
      <c r="AD132" s="73">
        <v>43100</v>
      </c>
      <c r="AE132" s="70" t="s">
        <v>57</v>
      </c>
      <c r="AF132" s="71">
        <v>0</v>
      </c>
      <c r="AG132" s="71">
        <v>0</v>
      </c>
      <c r="AH132" s="32">
        <f t="shared" si="24"/>
        <v>7</v>
      </c>
      <c r="AI132" s="71">
        <v>7</v>
      </c>
      <c r="AJ132" s="33">
        <f t="shared" si="25"/>
        <v>1</v>
      </c>
      <c r="AK132" s="69">
        <f t="shared" si="26"/>
        <v>30996</v>
      </c>
      <c r="AL132" s="69">
        <f t="shared" si="27"/>
        <v>30996</v>
      </c>
      <c r="AM132" s="70" t="s">
        <v>74</v>
      </c>
      <c r="AN132" s="70" t="s">
        <v>82</v>
      </c>
      <c r="AO132" s="70" t="s">
        <v>85</v>
      </c>
    </row>
    <row r="133" spans="1:41" x14ac:dyDescent="0.25">
      <c r="A133" s="70" t="s">
        <v>167</v>
      </c>
      <c r="B133" s="70">
        <v>2017</v>
      </c>
      <c r="C133" s="70" t="s">
        <v>65</v>
      </c>
      <c r="D133" s="70" t="s">
        <v>100</v>
      </c>
      <c r="E133" s="70" t="s">
        <v>100</v>
      </c>
      <c r="F133" s="70">
        <v>5632</v>
      </c>
      <c r="G133" s="70" t="s">
        <v>212</v>
      </c>
      <c r="H133" s="71">
        <v>0</v>
      </c>
      <c r="I133" s="71">
        <v>0</v>
      </c>
      <c r="J133" s="71">
        <v>10</v>
      </c>
      <c r="K133" s="71">
        <v>10</v>
      </c>
      <c r="L133" s="71">
        <v>7</v>
      </c>
      <c r="M133" s="71">
        <v>5</v>
      </c>
      <c r="N133" s="71">
        <v>0</v>
      </c>
      <c r="O133" s="71">
        <v>5</v>
      </c>
      <c r="P133" s="71">
        <v>20</v>
      </c>
      <c r="Q133" s="71">
        <v>0</v>
      </c>
      <c r="R133" s="71">
        <v>22</v>
      </c>
      <c r="S133" s="71">
        <v>0</v>
      </c>
      <c r="T133" s="68">
        <f t="shared" si="19"/>
        <v>79</v>
      </c>
      <c r="U133" s="71">
        <v>158</v>
      </c>
      <c r="V133" s="33">
        <f t="shared" si="20"/>
        <v>0.5</v>
      </c>
      <c r="W133" s="69">
        <f t="shared" si="21"/>
        <v>349812</v>
      </c>
      <c r="X133" s="69">
        <f t="shared" si="22"/>
        <v>699624</v>
      </c>
      <c r="Y133" s="70" t="s">
        <v>188</v>
      </c>
      <c r="Z133" s="72">
        <v>4428</v>
      </c>
      <c r="AA133" s="70" t="s">
        <v>168</v>
      </c>
      <c r="AB133" s="68">
        <f t="shared" si="23"/>
        <v>79</v>
      </c>
      <c r="AC133" s="73">
        <v>42790</v>
      </c>
      <c r="AD133" s="73">
        <v>43100</v>
      </c>
      <c r="AE133" s="70" t="s">
        <v>57</v>
      </c>
      <c r="AF133" s="71">
        <v>0</v>
      </c>
      <c r="AG133" s="71">
        <v>0</v>
      </c>
      <c r="AH133" s="32">
        <f t="shared" si="24"/>
        <v>79</v>
      </c>
      <c r="AI133" s="71">
        <v>79</v>
      </c>
      <c r="AJ133" s="33">
        <f t="shared" si="25"/>
        <v>1</v>
      </c>
      <c r="AK133" s="69">
        <f t="shared" si="26"/>
        <v>349812</v>
      </c>
      <c r="AL133" s="69">
        <f t="shared" si="27"/>
        <v>349812</v>
      </c>
      <c r="AM133" s="70" t="s">
        <v>74</v>
      </c>
      <c r="AN133" s="70" t="s">
        <v>59</v>
      </c>
      <c r="AO133" s="70" t="s">
        <v>85</v>
      </c>
    </row>
    <row r="134" spans="1:41" x14ac:dyDescent="0.25">
      <c r="A134" s="70" t="s">
        <v>167</v>
      </c>
      <c r="B134" s="70">
        <v>2017</v>
      </c>
      <c r="C134" s="70" t="s">
        <v>65</v>
      </c>
      <c r="D134" s="70" t="s">
        <v>100</v>
      </c>
      <c r="E134" s="70" t="s">
        <v>100</v>
      </c>
      <c r="F134" s="70">
        <v>5835</v>
      </c>
      <c r="G134" s="70" t="s">
        <v>189</v>
      </c>
      <c r="H134" s="71">
        <v>0</v>
      </c>
      <c r="I134" s="71">
        <v>0</v>
      </c>
      <c r="J134" s="71">
        <v>20</v>
      </c>
      <c r="K134" s="71">
        <v>5</v>
      </c>
      <c r="L134" s="71">
        <v>16</v>
      </c>
      <c r="M134" s="71">
        <v>5</v>
      </c>
      <c r="N134" s="71">
        <v>0</v>
      </c>
      <c r="O134" s="71">
        <v>0</v>
      </c>
      <c r="P134" s="71">
        <v>10</v>
      </c>
      <c r="Q134" s="71">
        <v>0</v>
      </c>
      <c r="R134" s="71">
        <v>28</v>
      </c>
      <c r="S134" s="71">
        <v>0</v>
      </c>
      <c r="T134" s="68">
        <f t="shared" si="19"/>
        <v>84</v>
      </c>
      <c r="U134" s="71">
        <v>186</v>
      </c>
      <c r="V134" s="33">
        <f t="shared" si="20"/>
        <v>0.45161290322580644</v>
      </c>
      <c r="W134" s="69">
        <f t="shared" si="21"/>
        <v>195846</v>
      </c>
      <c r="X134" s="69">
        <f t="shared" si="22"/>
        <v>433659</v>
      </c>
      <c r="Y134" s="70" t="s">
        <v>188</v>
      </c>
      <c r="Z134" s="72">
        <v>2331.5</v>
      </c>
      <c r="AA134" s="70" t="s">
        <v>168</v>
      </c>
      <c r="AB134" s="68">
        <f t="shared" si="23"/>
        <v>102</v>
      </c>
      <c r="AC134" s="73">
        <v>42790</v>
      </c>
      <c r="AD134" s="73">
        <v>43100</v>
      </c>
      <c r="AE134" s="70" t="s">
        <v>57</v>
      </c>
      <c r="AF134" s="71">
        <v>0</v>
      </c>
      <c r="AG134" s="71">
        <v>0</v>
      </c>
      <c r="AH134" s="32">
        <f t="shared" si="24"/>
        <v>84</v>
      </c>
      <c r="AI134" s="71">
        <v>93</v>
      </c>
      <c r="AJ134" s="33">
        <f t="shared" si="25"/>
        <v>0.90322580645161288</v>
      </c>
      <c r="AK134" s="69">
        <f t="shared" si="26"/>
        <v>195846</v>
      </c>
      <c r="AL134" s="69">
        <f t="shared" si="27"/>
        <v>216829.5</v>
      </c>
      <c r="AM134" s="70" t="s">
        <v>74</v>
      </c>
      <c r="AN134" s="70" t="s">
        <v>59</v>
      </c>
      <c r="AO134" s="70" t="s">
        <v>85</v>
      </c>
    </row>
    <row r="135" spans="1:41" x14ac:dyDescent="0.25">
      <c r="A135" s="70" t="s">
        <v>167</v>
      </c>
      <c r="B135" s="70">
        <v>2017</v>
      </c>
      <c r="C135" s="70" t="s">
        <v>65</v>
      </c>
      <c r="D135" s="70" t="s">
        <v>100</v>
      </c>
      <c r="E135" s="70" t="s">
        <v>100</v>
      </c>
      <c r="F135" s="70">
        <v>6013</v>
      </c>
      <c r="G135" s="70" t="s">
        <v>200</v>
      </c>
      <c r="H135" s="71">
        <v>0</v>
      </c>
      <c r="I135" s="71">
        <v>0</v>
      </c>
      <c r="J135" s="71">
        <v>10</v>
      </c>
      <c r="K135" s="71">
        <v>13</v>
      </c>
      <c r="L135" s="71">
        <v>15</v>
      </c>
      <c r="M135" s="71">
        <v>4</v>
      </c>
      <c r="N135" s="71">
        <v>0</v>
      </c>
      <c r="O135" s="71">
        <v>18</v>
      </c>
      <c r="P135" s="71">
        <v>20</v>
      </c>
      <c r="Q135" s="71">
        <v>0</v>
      </c>
      <c r="R135" s="71">
        <v>37</v>
      </c>
      <c r="S135" s="71">
        <v>0</v>
      </c>
      <c r="T135" s="68">
        <f t="shared" si="19"/>
        <v>117</v>
      </c>
      <c r="U135" s="71">
        <v>233</v>
      </c>
      <c r="V135" s="33">
        <f t="shared" si="20"/>
        <v>0.50214592274678116</v>
      </c>
      <c r="W135" s="69">
        <f t="shared" si="21"/>
        <v>814179.6</v>
      </c>
      <c r="X135" s="69">
        <f t="shared" si="22"/>
        <v>1621400.4000000001</v>
      </c>
      <c r="Y135" s="70" t="s">
        <v>188</v>
      </c>
      <c r="Z135" s="72">
        <v>6958.8</v>
      </c>
      <c r="AA135" s="70" t="s">
        <v>168</v>
      </c>
      <c r="AB135" s="68">
        <f t="shared" si="23"/>
        <v>116</v>
      </c>
      <c r="AC135" s="73">
        <v>42790</v>
      </c>
      <c r="AD135" s="73">
        <v>43100</v>
      </c>
      <c r="AE135" s="70" t="s">
        <v>57</v>
      </c>
      <c r="AF135" s="71">
        <v>0</v>
      </c>
      <c r="AG135" s="71">
        <v>0</v>
      </c>
      <c r="AH135" s="32">
        <f t="shared" si="24"/>
        <v>117</v>
      </c>
      <c r="AI135" s="71">
        <v>129</v>
      </c>
      <c r="AJ135" s="33">
        <f t="shared" si="25"/>
        <v>0.90697674418604646</v>
      </c>
      <c r="AK135" s="69">
        <f t="shared" si="26"/>
        <v>814179.6</v>
      </c>
      <c r="AL135" s="69">
        <f t="shared" si="27"/>
        <v>897685.20000000007</v>
      </c>
      <c r="AM135" s="70" t="s">
        <v>74</v>
      </c>
      <c r="AN135" s="70" t="s">
        <v>59</v>
      </c>
      <c r="AO135" s="70" t="s">
        <v>85</v>
      </c>
    </row>
    <row r="136" spans="1:41" x14ac:dyDescent="0.25">
      <c r="A136" s="70">
        <v>183915</v>
      </c>
      <c r="B136" s="70">
        <v>2017</v>
      </c>
      <c r="C136" s="70" t="s">
        <v>65</v>
      </c>
      <c r="D136" s="70" t="s">
        <v>100</v>
      </c>
      <c r="E136" s="70" t="s">
        <v>100</v>
      </c>
      <c r="F136" s="70">
        <v>6089</v>
      </c>
      <c r="G136" s="70" t="s">
        <v>220</v>
      </c>
      <c r="H136" s="71">
        <v>0</v>
      </c>
      <c r="I136" s="71">
        <v>0</v>
      </c>
      <c r="J136" s="71">
        <v>0</v>
      </c>
      <c r="K136" s="71">
        <v>0</v>
      </c>
      <c r="L136" s="71">
        <v>0</v>
      </c>
      <c r="M136" s="71">
        <v>0</v>
      </c>
      <c r="N136" s="71">
        <v>0</v>
      </c>
      <c r="O136" s="71">
        <v>0</v>
      </c>
      <c r="P136" s="71">
        <v>1</v>
      </c>
      <c r="Q136" s="71">
        <v>0</v>
      </c>
      <c r="R136" s="71">
        <v>0</v>
      </c>
      <c r="S136" s="71">
        <v>0</v>
      </c>
      <c r="T136" s="68">
        <f t="shared" si="19"/>
        <v>1</v>
      </c>
      <c r="U136" s="71">
        <v>1</v>
      </c>
      <c r="V136" s="33">
        <f t="shared" si="20"/>
        <v>1</v>
      </c>
      <c r="W136" s="69">
        <f t="shared" si="21"/>
        <v>4734</v>
      </c>
      <c r="X136" s="69">
        <f t="shared" si="22"/>
        <v>4734</v>
      </c>
      <c r="Y136" s="70" t="s">
        <v>188</v>
      </c>
      <c r="Z136" s="72">
        <v>4734</v>
      </c>
      <c r="AA136" s="70" t="s">
        <v>269</v>
      </c>
      <c r="AB136" s="68">
        <f t="shared" si="23"/>
        <v>0</v>
      </c>
      <c r="AC136" s="73">
        <v>42990</v>
      </c>
      <c r="AD136" s="73">
        <v>43020</v>
      </c>
      <c r="AE136" s="70" t="s">
        <v>57</v>
      </c>
      <c r="AF136" s="71">
        <v>0</v>
      </c>
      <c r="AG136" s="71">
        <v>0</v>
      </c>
      <c r="AH136" s="32">
        <f t="shared" si="24"/>
        <v>1</v>
      </c>
      <c r="AI136" s="71">
        <v>1</v>
      </c>
      <c r="AJ136" s="33">
        <f t="shared" si="25"/>
        <v>1</v>
      </c>
      <c r="AK136" s="69">
        <f t="shared" si="26"/>
        <v>4734</v>
      </c>
      <c r="AL136" s="69">
        <f t="shared" si="27"/>
        <v>4734</v>
      </c>
      <c r="AM136" s="70" t="s">
        <v>74</v>
      </c>
      <c r="AN136" s="70" t="s">
        <v>82</v>
      </c>
      <c r="AO136" s="70" t="s">
        <v>85</v>
      </c>
    </row>
    <row r="137" spans="1:41" x14ac:dyDescent="0.25">
      <c r="A137" s="70" t="s">
        <v>167</v>
      </c>
      <c r="B137" s="70">
        <v>2017</v>
      </c>
      <c r="C137" s="70" t="s">
        <v>65</v>
      </c>
      <c r="D137" s="70" t="s">
        <v>100</v>
      </c>
      <c r="E137" s="70" t="s">
        <v>100</v>
      </c>
      <c r="F137" s="70">
        <v>6089</v>
      </c>
      <c r="G137" s="70" t="s">
        <v>220</v>
      </c>
      <c r="H137" s="71">
        <v>0</v>
      </c>
      <c r="I137" s="71">
        <v>0</v>
      </c>
      <c r="J137" s="71">
        <v>5</v>
      </c>
      <c r="K137" s="71">
        <v>6</v>
      </c>
      <c r="L137" s="71">
        <v>1</v>
      </c>
      <c r="M137" s="71">
        <v>0</v>
      </c>
      <c r="N137" s="71">
        <v>0</v>
      </c>
      <c r="O137" s="71">
        <v>0</v>
      </c>
      <c r="P137" s="71">
        <v>0</v>
      </c>
      <c r="Q137" s="71">
        <v>0</v>
      </c>
      <c r="R137" s="71">
        <v>0</v>
      </c>
      <c r="S137" s="71">
        <v>0</v>
      </c>
      <c r="T137" s="68">
        <f t="shared" si="19"/>
        <v>12</v>
      </c>
      <c r="U137" s="71">
        <v>24</v>
      </c>
      <c r="V137" s="33">
        <f t="shared" si="20"/>
        <v>0.5</v>
      </c>
      <c r="W137" s="69">
        <f t="shared" si="21"/>
        <v>56808</v>
      </c>
      <c r="X137" s="69">
        <f t="shared" si="22"/>
        <v>113616</v>
      </c>
      <c r="Y137" s="70" t="s">
        <v>188</v>
      </c>
      <c r="Z137" s="72">
        <v>4734</v>
      </c>
      <c r="AA137" s="70" t="s">
        <v>168</v>
      </c>
      <c r="AB137" s="68">
        <f t="shared" si="23"/>
        <v>12</v>
      </c>
      <c r="AC137" s="73">
        <v>42790</v>
      </c>
      <c r="AD137" s="73">
        <v>43100</v>
      </c>
      <c r="AE137" s="70" t="s">
        <v>57</v>
      </c>
      <c r="AF137" s="71">
        <v>0</v>
      </c>
      <c r="AG137" s="71">
        <v>0</v>
      </c>
      <c r="AH137" s="32">
        <f t="shared" si="24"/>
        <v>12</v>
      </c>
      <c r="AI137" s="71">
        <v>12</v>
      </c>
      <c r="AJ137" s="33">
        <f t="shared" si="25"/>
        <v>1</v>
      </c>
      <c r="AK137" s="69">
        <f t="shared" si="26"/>
        <v>56808</v>
      </c>
      <c r="AL137" s="69">
        <f t="shared" si="27"/>
        <v>56808</v>
      </c>
      <c r="AM137" s="70" t="s">
        <v>74</v>
      </c>
      <c r="AN137" s="70" t="s">
        <v>59</v>
      </c>
      <c r="AO137" s="70" t="s">
        <v>85</v>
      </c>
    </row>
    <row r="138" spans="1:41" x14ac:dyDescent="0.25">
      <c r="A138" s="70">
        <v>54310</v>
      </c>
      <c r="B138" s="70">
        <v>2017</v>
      </c>
      <c r="C138" s="70" t="s">
        <v>65</v>
      </c>
      <c r="D138" s="70" t="s">
        <v>100</v>
      </c>
      <c r="E138" s="70" t="s">
        <v>100</v>
      </c>
      <c r="F138" s="70">
        <v>6089</v>
      </c>
      <c r="G138" s="70" t="s">
        <v>244</v>
      </c>
      <c r="H138" s="71">
        <v>0</v>
      </c>
      <c r="I138" s="71">
        <v>0</v>
      </c>
      <c r="J138" s="71">
        <v>0</v>
      </c>
      <c r="K138" s="71">
        <v>0</v>
      </c>
      <c r="L138" s="71">
        <v>0</v>
      </c>
      <c r="M138" s="71">
        <v>0</v>
      </c>
      <c r="N138" s="71">
        <v>0</v>
      </c>
      <c r="O138" s="71">
        <v>0</v>
      </c>
      <c r="P138" s="71">
        <v>0</v>
      </c>
      <c r="Q138" s="71">
        <v>9</v>
      </c>
      <c r="R138" s="71">
        <v>0</v>
      </c>
      <c r="S138" s="71">
        <v>0</v>
      </c>
      <c r="T138" s="68">
        <f t="shared" si="19"/>
        <v>9</v>
      </c>
      <c r="U138" s="71">
        <v>9</v>
      </c>
      <c r="V138" s="33">
        <f t="shared" si="20"/>
        <v>1</v>
      </c>
      <c r="W138" s="69">
        <f t="shared" si="21"/>
        <v>42606</v>
      </c>
      <c r="X138" s="69">
        <f t="shared" si="22"/>
        <v>42606</v>
      </c>
      <c r="Y138" s="70" t="s">
        <v>188</v>
      </c>
      <c r="Z138" s="72">
        <v>4734</v>
      </c>
      <c r="AA138" s="70" t="s">
        <v>270</v>
      </c>
      <c r="AB138" s="68">
        <f t="shared" si="23"/>
        <v>0</v>
      </c>
      <c r="AC138" s="73">
        <v>43006</v>
      </c>
      <c r="AD138" s="73">
        <v>43100</v>
      </c>
      <c r="AE138" s="70" t="s">
        <v>57</v>
      </c>
      <c r="AF138" s="71">
        <v>0</v>
      </c>
      <c r="AG138" s="71">
        <v>0</v>
      </c>
      <c r="AH138" s="32">
        <f t="shared" si="24"/>
        <v>9</v>
      </c>
      <c r="AI138" s="71">
        <v>9</v>
      </c>
      <c r="AJ138" s="33">
        <f t="shared" si="25"/>
        <v>1</v>
      </c>
      <c r="AK138" s="69">
        <f t="shared" si="26"/>
        <v>42606</v>
      </c>
      <c r="AL138" s="69">
        <f t="shared" si="27"/>
        <v>42606</v>
      </c>
      <c r="AM138" s="70" t="s">
        <v>74</v>
      </c>
      <c r="AN138" s="70" t="s">
        <v>82</v>
      </c>
      <c r="AO138" s="70" t="s">
        <v>85</v>
      </c>
    </row>
    <row r="139" spans="1:41" x14ac:dyDescent="0.25">
      <c r="A139" s="70" t="s">
        <v>167</v>
      </c>
      <c r="B139" s="70">
        <v>2017</v>
      </c>
      <c r="C139" s="70" t="s">
        <v>65</v>
      </c>
      <c r="D139" s="70" t="s">
        <v>100</v>
      </c>
      <c r="E139" s="70" t="s">
        <v>100</v>
      </c>
      <c r="F139" s="70" t="s">
        <v>20</v>
      </c>
      <c r="G139" s="70" t="s">
        <v>271</v>
      </c>
      <c r="H139" s="71">
        <v>0</v>
      </c>
      <c r="I139" s="71">
        <v>0</v>
      </c>
      <c r="J139" s="71">
        <v>0</v>
      </c>
      <c r="K139" s="71">
        <v>25</v>
      </c>
      <c r="L139" s="71">
        <v>41</v>
      </c>
      <c r="M139" s="71">
        <v>0</v>
      </c>
      <c r="N139" s="71">
        <v>0</v>
      </c>
      <c r="O139" s="71">
        <v>45</v>
      </c>
      <c r="P139" s="71">
        <v>25</v>
      </c>
      <c r="Q139" s="71">
        <v>0</v>
      </c>
      <c r="R139" s="71">
        <v>0</v>
      </c>
      <c r="S139" s="71">
        <v>10</v>
      </c>
      <c r="T139" s="68">
        <f t="shared" si="19"/>
        <v>146</v>
      </c>
      <c r="U139" s="71">
        <v>1440</v>
      </c>
      <c r="V139" s="33">
        <f t="shared" si="20"/>
        <v>0.10138888888888889</v>
      </c>
      <c r="W139" s="69">
        <f t="shared" si="21"/>
        <v>210240</v>
      </c>
      <c r="X139" s="69">
        <f t="shared" si="22"/>
        <v>2073600</v>
      </c>
      <c r="Y139" s="70" t="s">
        <v>188</v>
      </c>
      <c r="Z139" s="72">
        <v>1440</v>
      </c>
      <c r="AA139" s="70" t="s">
        <v>168</v>
      </c>
      <c r="AB139" s="68">
        <f t="shared" si="23"/>
        <v>1294</v>
      </c>
      <c r="AC139" s="73">
        <v>42790</v>
      </c>
      <c r="AD139" s="73">
        <v>43100</v>
      </c>
      <c r="AE139" s="70" t="s">
        <v>57</v>
      </c>
      <c r="AF139" s="71">
        <v>0</v>
      </c>
      <c r="AG139" s="71">
        <v>0</v>
      </c>
      <c r="AH139" s="32">
        <f t="shared" si="24"/>
        <v>146</v>
      </c>
      <c r="AI139" s="71">
        <v>720</v>
      </c>
      <c r="AJ139" s="33">
        <f t="shared" si="25"/>
        <v>0.20277777777777778</v>
      </c>
      <c r="AK139" s="69">
        <f t="shared" si="26"/>
        <v>210240</v>
      </c>
      <c r="AL139" s="69">
        <f t="shared" si="27"/>
        <v>1036800</v>
      </c>
      <c r="AM139" s="70" t="s">
        <v>74</v>
      </c>
      <c r="AN139" s="70" t="s">
        <v>59</v>
      </c>
      <c r="AO139" s="70" t="s">
        <v>85</v>
      </c>
    </row>
    <row r="140" spans="1:41" x14ac:dyDescent="0.25">
      <c r="A140" s="70" t="s">
        <v>79</v>
      </c>
      <c r="B140" s="70">
        <v>2017</v>
      </c>
      <c r="C140" s="70" t="s">
        <v>65</v>
      </c>
      <c r="D140" s="70" t="s">
        <v>67</v>
      </c>
      <c r="E140" s="70" t="s">
        <v>67</v>
      </c>
      <c r="F140" s="70">
        <v>5452</v>
      </c>
      <c r="G140" s="70" t="s">
        <v>221</v>
      </c>
      <c r="H140" s="71">
        <v>0</v>
      </c>
      <c r="I140" s="71">
        <v>0</v>
      </c>
      <c r="J140" s="71">
        <v>0</v>
      </c>
      <c r="K140" s="71">
        <v>0</v>
      </c>
      <c r="L140" s="71">
        <v>51</v>
      </c>
      <c r="M140" s="71">
        <v>0</v>
      </c>
      <c r="N140" s="71">
        <v>0</v>
      </c>
      <c r="O140" s="71">
        <v>0</v>
      </c>
      <c r="P140" s="71">
        <v>0</v>
      </c>
      <c r="Q140" s="71">
        <v>0</v>
      </c>
      <c r="R140" s="71">
        <v>0</v>
      </c>
      <c r="S140" s="71">
        <v>0</v>
      </c>
      <c r="T140" s="68">
        <f t="shared" si="19"/>
        <v>51</v>
      </c>
      <c r="U140" s="71">
        <v>51</v>
      </c>
      <c r="V140" s="33">
        <f t="shared" si="20"/>
        <v>1</v>
      </c>
      <c r="W140" s="69">
        <f t="shared" si="21"/>
        <v>693272.58</v>
      </c>
      <c r="X140" s="69">
        <f t="shared" si="22"/>
        <v>693272.58</v>
      </c>
      <c r="Y140" s="70" t="s">
        <v>188</v>
      </c>
      <c r="Z140" s="72">
        <v>13593.58</v>
      </c>
      <c r="AA140" s="70" t="s">
        <v>80</v>
      </c>
      <c r="AB140" s="68">
        <f t="shared" si="23"/>
        <v>0</v>
      </c>
      <c r="AC140" s="73">
        <v>42810</v>
      </c>
      <c r="AD140" s="73">
        <v>43038</v>
      </c>
      <c r="AE140" s="70" t="s">
        <v>57</v>
      </c>
      <c r="AF140" s="71">
        <v>0</v>
      </c>
      <c r="AG140" s="71">
        <v>0</v>
      </c>
      <c r="AH140" s="32">
        <f t="shared" si="24"/>
        <v>51</v>
      </c>
      <c r="AI140" s="71">
        <v>51</v>
      </c>
      <c r="AJ140" s="33">
        <f t="shared" si="25"/>
        <v>1</v>
      </c>
      <c r="AK140" s="69">
        <f t="shared" si="26"/>
        <v>693272.58</v>
      </c>
      <c r="AL140" s="69">
        <f t="shared" si="27"/>
        <v>693272.58</v>
      </c>
      <c r="AM140" s="70" t="s">
        <v>73</v>
      </c>
      <c r="AN140" s="70" t="s">
        <v>59</v>
      </c>
      <c r="AO140" s="70" t="s">
        <v>85</v>
      </c>
    </row>
    <row r="141" spans="1:41" x14ac:dyDescent="0.25">
      <c r="A141" s="70" t="s">
        <v>90</v>
      </c>
      <c r="B141" s="70">
        <v>2017</v>
      </c>
      <c r="C141" s="70" t="s">
        <v>65</v>
      </c>
      <c r="D141" s="70" t="s">
        <v>67</v>
      </c>
      <c r="E141" s="70" t="s">
        <v>67</v>
      </c>
      <c r="F141" s="70">
        <v>5452</v>
      </c>
      <c r="G141" s="70" t="s">
        <v>221</v>
      </c>
      <c r="H141" s="71">
        <v>0</v>
      </c>
      <c r="I141" s="71">
        <v>0</v>
      </c>
      <c r="J141" s="71">
        <v>0</v>
      </c>
      <c r="K141" s="71">
        <v>0</v>
      </c>
      <c r="L141" s="71">
        <v>0</v>
      </c>
      <c r="M141" s="71">
        <v>0</v>
      </c>
      <c r="N141" s="71">
        <v>10</v>
      </c>
      <c r="O141" s="71">
        <v>35</v>
      </c>
      <c r="P141" s="71">
        <v>0</v>
      </c>
      <c r="Q141" s="71">
        <v>55</v>
      </c>
      <c r="R141" s="71">
        <v>40</v>
      </c>
      <c r="S141" s="71">
        <v>0</v>
      </c>
      <c r="T141" s="68">
        <f t="shared" si="19"/>
        <v>140</v>
      </c>
      <c r="U141" s="71">
        <v>499</v>
      </c>
      <c r="V141" s="33">
        <f t="shared" si="20"/>
        <v>0.28056112224448898</v>
      </c>
      <c r="W141" s="69">
        <f t="shared" si="21"/>
        <v>1903020</v>
      </c>
      <c r="X141" s="69">
        <f t="shared" si="22"/>
        <v>6782907</v>
      </c>
      <c r="Y141" s="70" t="s">
        <v>188</v>
      </c>
      <c r="Z141" s="72">
        <v>13593</v>
      </c>
      <c r="AA141" s="70" t="s">
        <v>88</v>
      </c>
      <c r="AB141" s="68">
        <f t="shared" si="23"/>
        <v>359</v>
      </c>
      <c r="AC141" s="73">
        <v>42902</v>
      </c>
      <c r="AD141" s="73">
        <v>43447</v>
      </c>
      <c r="AE141" s="70" t="s">
        <v>57</v>
      </c>
      <c r="AF141" s="71">
        <v>0</v>
      </c>
      <c r="AG141" s="71">
        <v>0</v>
      </c>
      <c r="AH141" s="32">
        <f t="shared" si="24"/>
        <v>140</v>
      </c>
      <c r="AI141" s="71">
        <v>499</v>
      </c>
      <c r="AJ141" s="33">
        <f t="shared" si="25"/>
        <v>0.28056112224448898</v>
      </c>
      <c r="AK141" s="69">
        <f t="shared" si="26"/>
        <v>1903020</v>
      </c>
      <c r="AL141" s="69">
        <f t="shared" si="27"/>
        <v>6782907</v>
      </c>
      <c r="AM141" s="70" t="s">
        <v>73</v>
      </c>
      <c r="AN141" s="70" t="s">
        <v>59</v>
      </c>
      <c r="AO141" s="70" t="s">
        <v>85</v>
      </c>
    </row>
    <row r="142" spans="1:41" x14ac:dyDescent="0.25">
      <c r="A142" s="70" t="s">
        <v>66</v>
      </c>
      <c r="B142" s="70">
        <v>2017</v>
      </c>
      <c r="C142" s="70" t="s">
        <v>65</v>
      </c>
      <c r="D142" s="70" t="s">
        <v>67</v>
      </c>
      <c r="E142" s="70" t="s">
        <v>67</v>
      </c>
      <c r="F142" s="70">
        <v>5452</v>
      </c>
      <c r="G142" s="70" t="s">
        <v>221</v>
      </c>
      <c r="H142" s="71">
        <v>24</v>
      </c>
      <c r="I142" s="71">
        <v>3</v>
      </c>
      <c r="J142" s="71">
        <v>0</v>
      </c>
      <c r="K142" s="71">
        <v>0</v>
      </c>
      <c r="L142" s="71">
        <v>0</v>
      </c>
      <c r="M142" s="71">
        <v>0</v>
      </c>
      <c r="N142" s="71">
        <v>0</v>
      </c>
      <c r="O142" s="71">
        <v>0</v>
      </c>
      <c r="P142" s="71">
        <v>0</v>
      </c>
      <c r="Q142" s="71">
        <v>0</v>
      </c>
      <c r="R142" s="71">
        <v>0</v>
      </c>
      <c r="S142" s="71">
        <v>0</v>
      </c>
      <c r="T142" s="68">
        <f t="shared" si="19"/>
        <v>27</v>
      </c>
      <c r="U142" s="71">
        <v>431</v>
      </c>
      <c r="V142" s="33">
        <f t="shared" si="20"/>
        <v>6.2645011600928072E-2</v>
      </c>
      <c r="W142" s="69">
        <f t="shared" si="21"/>
        <v>367026.66</v>
      </c>
      <c r="X142" s="69">
        <f t="shared" si="22"/>
        <v>5858832.9799999995</v>
      </c>
      <c r="Y142" s="70" t="s">
        <v>188</v>
      </c>
      <c r="Z142" s="72">
        <v>13593.58</v>
      </c>
      <c r="AA142" s="70" t="s">
        <v>68</v>
      </c>
      <c r="AB142" s="68">
        <f t="shared" si="23"/>
        <v>404</v>
      </c>
      <c r="AC142" s="73">
        <v>42418</v>
      </c>
      <c r="AD142" s="73">
        <v>42972</v>
      </c>
      <c r="AE142" s="70" t="s">
        <v>57</v>
      </c>
      <c r="AF142" s="71">
        <v>0</v>
      </c>
      <c r="AG142" s="71">
        <v>187</v>
      </c>
      <c r="AH142" s="32">
        <f t="shared" si="24"/>
        <v>214</v>
      </c>
      <c r="AI142" s="71">
        <v>618</v>
      </c>
      <c r="AJ142" s="33">
        <f t="shared" si="25"/>
        <v>0.34627831715210355</v>
      </c>
      <c r="AK142" s="69">
        <f t="shared" si="26"/>
        <v>2909026.12</v>
      </c>
      <c r="AL142" s="69">
        <f t="shared" si="27"/>
        <v>8400832.4399999995</v>
      </c>
      <c r="AM142" s="70" t="s">
        <v>73</v>
      </c>
      <c r="AN142" s="70" t="s">
        <v>59</v>
      </c>
      <c r="AO142" s="70" t="s">
        <v>85</v>
      </c>
    </row>
    <row r="143" spans="1:41" x14ac:dyDescent="0.25">
      <c r="A143" s="70" t="s">
        <v>90</v>
      </c>
      <c r="B143" s="70">
        <v>2017</v>
      </c>
      <c r="C143" s="70" t="s">
        <v>65</v>
      </c>
      <c r="D143" s="70" t="s">
        <v>67</v>
      </c>
      <c r="E143" s="70" t="s">
        <v>67</v>
      </c>
      <c r="F143" s="70">
        <v>5653</v>
      </c>
      <c r="G143" s="70" t="s">
        <v>263</v>
      </c>
      <c r="H143" s="71">
        <v>0</v>
      </c>
      <c r="I143" s="71">
        <v>0</v>
      </c>
      <c r="J143" s="71">
        <v>0</v>
      </c>
      <c r="K143" s="71">
        <v>0</v>
      </c>
      <c r="L143" s="71">
        <v>0</v>
      </c>
      <c r="M143" s="71">
        <v>0</v>
      </c>
      <c r="N143" s="71">
        <v>0</v>
      </c>
      <c r="O143" s="71">
        <v>0</v>
      </c>
      <c r="P143" s="71">
        <v>0</v>
      </c>
      <c r="Q143" s="71">
        <v>0</v>
      </c>
      <c r="R143" s="71">
        <v>0</v>
      </c>
      <c r="S143" s="71">
        <v>0</v>
      </c>
      <c r="T143" s="68">
        <f t="shared" si="19"/>
        <v>0</v>
      </c>
      <c r="U143" s="71">
        <v>10</v>
      </c>
      <c r="V143" s="33">
        <f t="shared" si="20"/>
        <v>0</v>
      </c>
      <c r="W143" s="69">
        <f t="shared" si="21"/>
        <v>0</v>
      </c>
      <c r="X143" s="69">
        <f t="shared" si="22"/>
        <v>76992</v>
      </c>
      <c r="Y143" s="70" t="s">
        <v>188</v>
      </c>
      <c r="Z143" s="72">
        <v>7699.2</v>
      </c>
      <c r="AA143" s="70" t="s">
        <v>88</v>
      </c>
      <c r="AB143" s="68">
        <f t="shared" si="23"/>
        <v>10</v>
      </c>
      <c r="AC143" s="73">
        <v>42902</v>
      </c>
      <c r="AD143" s="73">
        <v>43447</v>
      </c>
      <c r="AE143" s="70" t="s">
        <v>57</v>
      </c>
      <c r="AF143" s="71">
        <v>0</v>
      </c>
      <c r="AG143" s="71">
        <v>0</v>
      </c>
      <c r="AH143" s="32">
        <f t="shared" si="24"/>
        <v>0</v>
      </c>
      <c r="AI143" s="71">
        <v>10</v>
      </c>
      <c r="AJ143" s="33">
        <f t="shared" si="25"/>
        <v>0</v>
      </c>
      <c r="AK143" s="69">
        <f t="shared" si="26"/>
        <v>0</v>
      </c>
      <c r="AL143" s="69">
        <f t="shared" si="27"/>
        <v>76992</v>
      </c>
      <c r="AM143" s="70" t="s">
        <v>73</v>
      </c>
      <c r="AN143" s="70" t="s">
        <v>59</v>
      </c>
      <c r="AO143" s="70" t="s">
        <v>85</v>
      </c>
    </row>
    <row r="144" spans="1:41" x14ac:dyDescent="0.25">
      <c r="A144" s="70">
        <v>50938</v>
      </c>
      <c r="B144" s="70">
        <v>2017</v>
      </c>
      <c r="C144" s="70" t="s">
        <v>65</v>
      </c>
      <c r="D144" s="70" t="s">
        <v>148</v>
      </c>
      <c r="E144" s="70" t="s">
        <v>148</v>
      </c>
      <c r="F144" s="70">
        <v>5653</v>
      </c>
      <c r="G144" s="70" t="s">
        <v>263</v>
      </c>
      <c r="H144" s="71">
        <v>0</v>
      </c>
      <c r="I144" s="71">
        <v>20</v>
      </c>
      <c r="J144" s="71">
        <v>0</v>
      </c>
      <c r="K144" s="71">
        <v>0</v>
      </c>
      <c r="L144" s="71">
        <v>0</v>
      </c>
      <c r="M144" s="71">
        <v>0</v>
      </c>
      <c r="N144" s="71">
        <v>0</v>
      </c>
      <c r="O144" s="71">
        <v>0</v>
      </c>
      <c r="P144" s="71">
        <v>0</v>
      </c>
      <c r="Q144" s="71">
        <v>0</v>
      </c>
      <c r="R144" s="71">
        <v>0</v>
      </c>
      <c r="S144" s="71">
        <v>0</v>
      </c>
      <c r="T144" s="68">
        <f t="shared" si="19"/>
        <v>20</v>
      </c>
      <c r="U144" s="71">
        <v>20</v>
      </c>
      <c r="V144" s="33">
        <f t="shared" si="20"/>
        <v>1</v>
      </c>
      <c r="W144" s="69">
        <f t="shared" si="21"/>
        <v>153984</v>
      </c>
      <c r="X144" s="69">
        <f t="shared" si="22"/>
        <v>153984</v>
      </c>
      <c r="Y144" s="70" t="s">
        <v>188</v>
      </c>
      <c r="Z144" s="72">
        <v>7699.2</v>
      </c>
      <c r="AA144" s="70" t="s">
        <v>272</v>
      </c>
      <c r="AB144" s="68">
        <f t="shared" si="23"/>
        <v>0</v>
      </c>
      <c r="AC144" s="73">
        <v>42741</v>
      </c>
      <c r="AD144" s="73">
        <v>42852</v>
      </c>
      <c r="AE144" s="70" t="s">
        <v>57</v>
      </c>
      <c r="AF144" s="71">
        <v>0</v>
      </c>
      <c r="AG144" s="71">
        <v>0</v>
      </c>
      <c r="AH144" s="32">
        <f t="shared" si="24"/>
        <v>20</v>
      </c>
      <c r="AI144" s="71">
        <v>20</v>
      </c>
      <c r="AJ144" s="33">
        <f t="shared" si="25"/>
        <v>1</v>
      </c>
      <c r="AK144" s="69">
        <f t="shared" si="26"/>
        <v>153984</v>
      </c>
      <c r="AL144" s="69">
        <f t="shared" si="27"/>
        <v>153984</v>
      </c>
      <c r="AM144" s="70" t="s">
        <v>74</v>
      </c>
      <c r="AN144" s="70" t="s">
        <v>82</v>
      </c>
      <c r="AO144" s="70" t="s">
        <v>85</v>
      </c>
    </row>
    <row r="145" spans="1:41" x14ac:dyDescent="0.25">
      <c r="A145" s="70">
        <v>53547</v>
      </c>
      <c r="B145" s="70">
        <v>2017</v>
      </c>
      <c r="C145" s="70" t="s">
        <v>65</v>
      </c>
      <c r="D145" s="70" t="s">
        <v>123</v>
      </c>
      <c r="E145" s="70" t="s">
        <v>273</v>
      </c>
      <c r="F145" s="70">
        <v>5613</v>
      </c>
      <c r="G145" s="70" t="s">
        <v>194</v>
      </c>
      <c r="H145" s="71">
        <v>0</v>
      </c>
      <c r="I145" s="71">
        <v>0</v>
      </c>
      <c r="J145" s="71">
        <v>0</v>
      </c>
      <c r="K145" s="71">
        <v>0</v>
      </c>
      <c r="L145" s="71">
        <v>0</v>
      </c>
      <c r="M145" s="71">
        <v>0</v>
      </c>
      <c r="N145" s="71">
        <v>1</v>
      </c>
      <c r="O145" s="71">
        <v>0</v>
      </c>
      <c r="P145" s="71">
        <v>0</v>
      </c>
      <c r="Q145" s="71">
        <v>0</v>
      </c>
      <c r="R145" s="71">
        <v>0</v>
      </c>
      <c r="S145" s="71">
        <v>0</v>
      </c>
      <c r="T145" s="68">
        <f t="shared" si="19"/>
        <v>1</v>
      </c>
      <c r="U145" s="71">
        <v>1</v>
      </c>
      <c r="V145" s="33">
        <f t="shared" si="20"/>
        <v>1</v>
      </c>
      <c r="W145" s="69">
        <f t="shared" si="21"/>
        <v>3655.6</v>
      </c>
      <c r="X145" s="69">
        <f t="shared" si="22"/>
        <v>3655.6</v>
      </c>
      <c r="Y145" s="70" t="s">
        <v>188</v>
      </c>
      <c r="Z145" s="72">
        <v>3655.6</v>
      </c>
      <c r="AA145" s="70" t="s">
        <v>274</v>
      </c>
      <c r="AB145" s="68">
        <f t="shared" si="23"/>
        <v>0</v>
      </c>
      <c r="AC145" s="73">
        <v>42928</v>
      </c>
      <c r="AD145" s="73">
        <v>42959</v>
      </c>
      <c r="AE145" s="70" t="s">
        <v>57</v>
      </c>
      <c r="AF145" s="71">
        <v>0</v>
      </c>
      <c r="AG145" s="71">
        <v>0</v>
      </c>
      <c r="AH145" s="32">
        <f t="shared" si="24"/>
        <v>1</v>
      </c>
      <c r="AI145" s="71">
        <v>1</v>
      </c>
      <c r="AJ145" s="33">
        <f t="shared" si="25"/>
        <v>1</v>
      </c>
      <c r="AK145" s="69">
        <f t="shared" si="26"/>
        <v>3655.6</v>
      </c>
      <c r="AL145" s="69">
        <f t="shared" si="27"/>
        <v>3655.6</v>
      </c>
      <c r="AM145" s="70" t="s">
        <v>119</v>
      </c>
      <c r="AN145" s="70" t="s">
        <v>82</v>
      </c>
      <c r="AO145" s="70" t="s">
        <v>85</v>
      </c>
    </row>
    <row r="146" spans="1:41" x14ac:dyDescent="0.25">
      <c r="A146" s="70">
        <v>59</v>
      </c>
      <c r="B146" s="70">
        <v>2017</v>
      </c>
      <c r="C146" s="70" t="s">
        <v>65</v>
      </c>
      <c r="D146" s="70" t="s">
        <v>123</v>
      </c>
      <c r="E146" s="70" t="s">
        <v>123</v>
      </c>
      <c r="F146" s="70">
        <v>5452</v>
      </c>
      <c r="G146" s="70" t="s">
        <v>221</v>
      </c>
      <c r="H146" s="71">
        <v>0</v>
      </c>
      <c r="I146" s="71">
        <v>0</v>
      </c>
      <c r="J146" s="71">
        <v>0</v>
      </c>
      <c r="K146" s="71">
        <v>0</v>
      </c>
      <c r="L146" s="71">
        <v>0</v>
      </c>
      <c r="M146" s="71">
        <v>0</v>
      </c>
      <c r="N146" s="71">
        <v>32</v>
      </c>
      <c r="O146" s="71">
        <v>48</v>
      </c>
      <c r="P146" s="71">
        <v>0</v>
      </c>
      <c r="Q146" s="71">
        <v>64</v>
      </c>
      <c r="R146" s="71">
        <v>0</v>
      </c>
      <c r="S146" s="71">
        <v>0</v>
      </c>
      <c r="T146" s="68">
        <f t="shared" si="19"/>
        <v>144</v>
      </c>
      <c r="U146" s="71">
        <v>144</v>
      </c>
      <c r="V146" s="33">
        <f t="shared" si="20"/>
        <v>1</v>
      </c>
      <c r="W146" s="69">
        <f t="shared" si="21"/>
        <v>1957392</v>
      </c>
      <c r="X146" s="69">
        <f t="shared" si="22"/>
        <v>1957392</v>
      </c>
      <c r="Y146" s="70" t="s">
        <v>188</v>
      </c>
      <c r="Z146" s="72">
        <v>13593</v>
      </c>
      <c r="AA146" s="70" t="s">
        <v>124</v>
      </c>
      <c r="AB146" s="68">
        <f t="shared" si="23"/>
        <v>0</v>
      </c>
      <c r="AC146" s="73">
        <v>42908</v>
      </c>
      <c r="AD146" s="73">
        <v>43100</v>
      </c>
      <c r="AE146" s="70" t="s">
        <v>57</v>
      </c>
      <c r="AF146" s="71">
        <v>0</v>
      </c>
      <c r="AG146" s="71">
        <v>0</v>
      </c>
      <c r="AH146" s="32">
        <f t="shared" si="24"/>
        <v>144</v>
      </c>
      <c r="AI146" s="71">
        <v>144</v>
      </c>
      <c r="AJ146" s="33">
        <f t="shared" si="25"/>
        <v>1</v>
      </c>
      <c r="AK146" s="69">
        <f t="shared" si="26"/>
        <v>1957392</v>
      </c>
      <c r="AL146" s="69">
        <f t="shared" si="27"/>
        <v>1957392</v>
      </c>
      <c r="AM146" s="70" t="s">
        <v>119</v>
      </c>
      <c r="AN146" s="70" t="s">
        <v>59</v>
      </c>
      <c r="AO146" s="70" t="s">
        <v>85</v>
      </c>
    </row>
    <row r="147" spans="1:41" x14ac:dyDescent="0.25">
      <c r="A147" s="70">
        <v>59</v>
      </c>
      <c r="B147" s="70">
        <v>2017</v>
      </c>
      <c r="C147" s="70" t="s">
        <v>65</v>
      </c>
      <c r="D147" s="70" t="s">
        <v>123</v>
      </c>
      <c r="E147" s="70" t="s">
        <v>123</v>
      </c>
      <c r="F147" s="70">
        <v>5632</v>
      </c>
      <c r="G147" s="70" t="s">
        <v>212</v>
      </c>
      <c r="H147" s="71">
        <v>0</v>
      </c>
      <c r="I147" s="71">
        <v>0</v>
      </c>
      <c r="J147" s="71">
        <v>0</v>
      </c>
      <c r="K147" s="71">
        <v>0</v>
      </c>
      <c r="L147" s="71">
        <v>0</v>
      </c>
      <c r="M147" s="71">
        <v>0</v>
      </c>
      <c r="N147" s="71">
        <v>67</v>
      </c>
      <c r="O147" s="71">
        <v>69</v>
      </c>
      <c r="P147" s="71">
        <v>0</v>
      </c>
      <c r="Q147" s="71">
        <v>72</v>
      </c>
      <c r="R147" s="71">
        <v>0</v>
      </c>
      <c r="S147" s="71">
        <v>0</v>
      </c>
      <c r="T147" s="68">
        <f t="shared" si="19"/>
        <v>208</v>
      </c>
      <c r="U147" s="71">
        <v>208</v>
      </c>
      <c r="V147" s="33">
        <f t="shared" si="20"/>
        <v>1</v>
      </c>
      <c r="W147" s="69">
        <f t="shared" si="21"/>
        <v>921024</v>
      </c>
      <c r="X147" s="69">
        <f t="shared" si="22"/>
        <v>921024</v>
      </c>
      <c r="Y147" s="70" t="s">
        <v>188</v>
      </c>
      <c r="Z147" s="72">
        <v>4428</v>
      </c>
      <c r="AA147" s="70" t="s">
        <v>124</v>
      </c>
      <c r="AB147" s="68">
        <f t="shared" si="23"/>
        <v>0</v>
      </c>
      <c r="AC147" s="73">
        <v>42908</v>
      </c>
      <c r="AD147" s="73">
        <v>43100</v>
      </c>
      <c r="AE147" s="70" t="s">
        <v>57</v>
      </c>
      <c r="AF147" s="71">
        <v>0</v>
      </c>
      <c r="AG147" s="71">
        <v>0</v>
      </c>
      <c r="AH147" s="32">
        <f t="shared" si="24"/>
        <v>208</v>
      </c>
      <c r="AI147" s="71">
        <v>208</v>
      </c>
      <c r="AJ147" s="33">
        <f t="shared" si="25"/>
        <v>1</v>
      </c>
      <c r="AK147" s="69">
        <f t="shared" si="26"/>
        <v>921024</v>
      </c>
      <c r="AL147" s="69">
        <f t="shared" si="27"/>
        <v>921024</v>
      </c>
      <c r="AM147" s="70" t="s">
        <v>119</v>
      </c>
      <c r="AN147" s="70" t="s">
        <v>59</v>
      </c>
      <c r="AO147" s="70" t="s">
        <v>85</v>
      </c>
    </row>
    <row r="148" spans="1:41" x14ac:dyDescent="0.25">
      <c r="A148" s="70">
        <v>59</v>
      </c>
      <c r="B148" s="70">
        <v>2017</v>
      </c>
      <c r="C148" s="70" t="s">
        <v>65</v>
      </c>
      <c r="D148" s="70" t="s">
        <v>123</v>
      </c>
      <c r="E148" s="70" t="s">
        <v>123</v>
      </c>
      <c r="F148" s="70">
        <v>5633</v>
      </c>
      <c r="G148" s="70" t="s">
        <v>259</v>
      </c>
      <c r="H148" s="71">
        <v>0</v>
      </c>
      <c r="I148" s="71">
        <v>0</v>
      </c>
      <c r="J148" s="71">
        <v>0</v>
      </c>
      <c r="K148" s="71">
        <v>0</v>
      </c>
      <c r="L148" s="71">
        <v>0</v>
      </c>
      <c r="M148" s="71">
        <v>0</v>
      </c>
      <c r="N148" s="71">
        <v>21</v>
      </c>
      <c r="O148" s="71">
        <v>21</v>
      </c>
      <c r="P148" s="71">
        <v>0</v>
      </c>
      <c r="Q148" s="71">
        <v>22</v>
      </c>
      <c r="R148" s="71">
        <v>0</v>
      </c>
      <c r="S148" s="71">
        <v>0</v>
      </c>
      <c r="T148" s="68">
        <f t="shared" si="19"/>
        <v>64</v>
      </c>
      <c r="U148" s="71">
        <v>64</v>
      </c>
      <c r="V148" s="33">
        <f t="shared" si="20"/>
        <v>1</v>
      </c>
      <c r="W148" s="69">
        <f t="shared" si="21"/>
        <v>472320</v>
      </c>
      <c r="X148" s="69">
        <f t="shared" si="22"/>
        <v>472320</v>
      </c>
      <c r="Y148" s="70" t="s">
        <v>188</v>
      </c>
      <c r="Z148" s="72">
        <v>7380</v>
      </c>
      <c r="AA148" s="70" t="s">
        <v>124</v>
      </c>
      <c r="AB148" s="68">
        <f t="shared" si="23"/>
        <v>0</v>
      </c>
      <c r="AC148" s="73">
        <v>42908</v>
      </c>
      <c r="AD148" s="73">
        <v>43100</v>
      </c>
      <c r="AE148" s="70" t="s">
        <v>57</v>
      </c>
      <c r="AF148" s="71">
        <v>0</v>
      </c>
      <c r="AG148" s="71">
        <v>0</v>
      </c>
      <c r="AH148" s="32">
        <f t="shared" si="24"/>
        <v>64</v>
      </c>
      <c r="AI148" s="71">
        <v>64</v>
      </c>
      <c r="AJ148" s="33">
        <f t="shared" si="25"/>
        <v>1</v>
      </c>
      <c r="AK148" s="69">
        <f t="shared" si="26"/>
        <v>472320</v>
      </c>
      <c r="AL148" s="69">
        <f t="shared" si="27"/>
        <v>472320</v>
      </c>
      <c r="AM148" s="70" t="s">
        <v>119</v>
      </c>
      <c r="AN148" s="70" t="s">
        <v>59</v>
      </c>
      <c r="AO148" s="70" t="s">
        <v>85</v>
      </c>
    </row>
    <row r="149" spans="1:41" x14ac:dyDescent="0.25">
      <c r="A149" s="70">
        <v>59</v>
      </c>
      <c r="B149" s="70">
        <v>2017</v>
      </c>
      <c r="C149" s="70" t="s">
        <v>65</v>
      </c>
      <c r="D149" s="70" t="s">
        <v>123</v>
      </c>
      <c r="E149" s="70" t="s">
        <v>123</v>
      </c>
      <c r="F149" s="70">
        <v>5653</v>
      </c>
      <c r="G149" s="70" t="s">
        <v>263</v>
      </c>
      <c r="H149" s="71">
        <v>0</v>
      </c>
      <c r="I149" s="71">
        <v>0</v>
      </c>
      <c r="J149" s="71">
        <v>0</v>
      </c>
      <c r="K149" s="71">
        <v>0</v>
      </c>
      <c r="L149" s="71">
        <v>0</v>
      </c>
      <c r="M149" s="71">
        <v>0</v>
      </c>
      <c r="N149" s="71">
        <v>30</v>
      </c>
      <c r="O149" s="71">
        <v>32</v>
      </c>
      <c r="P149" s="71">
        <v>0</v>
      </c>
      <c r="Q149" s="71">
        <v>34</v>
      </c>
      <c r="R149" s="71">
        <v>0</v>
      </c>
      <c r="S149" s="71">
        <v>0</v>
      </c>
      <c r="T149" s="68">
        <f t="shared" si="19"/>
        <v>96</v>
      </c>
      <c r="U149" s="71">
        <v>96</v>
      </c>
      <c r="V149" s="33">
        <f t="shared" si="20"/>
        <v>1</v>
      </c>
      <c r="W149" s="69">
        <f t="shared" si="21"/>
        <v>739123.19999999995</v>
      </c>
      <c r="X149" s="69">
        <f t="shared" si="22"/>
        <v>739123.19999999995</v>
      </c>
      <c r="Y149" s="70" t="s">
        <v>188</v>
      </c>
      <c r="Z149" s="72">
        <v>7699.2</v>
      </c>
      <c r="AA149" s="70" t="s">
        <v>124</v>
      </c>
      <c r="AB149" s="68">
        <f t="shared" si="23"/>
        <v>0</v>
      </c>
      <c r="AC149" s="73">
        <v>42908</v>
      </c>
      <c r="AD149" s="73">
        <v>43100</v>
      </c>
      <c r="AE149" s="70" t="s">
        <v>57</v>
      </c>
      <c r="AF149" s="71">
        <v>0</v>
      </c>
      <c r="AG149" s="71">
        <v>0</v>
      </c>
      <c r="AH149" s="32">
        <f t="shared" si="24"/>
        <v>96</v>
      </c>
      <c r="AI149" s="71">
        <v>96</v>
      </c>
      <c r="AJ149" s="33">
        <f t="shared" si="25"/>
        <v>1</v>
      </c>
      <c r="AK149" s="69">
        <f t="shared" si="26"/>
        <v>739123.19999999995</v>
      </c>
      <c r="AL149" s="69">
        <f t="shared" si="27"/>
        <v>739123.19999999995</v>
      </c>
      <c r="AM149" s="70" t="s">
        <v>119</v>
      </c>
      <c r="AN149" s="70" t="s">
        <v>59</v>
      </c>
      <c r="AO149" s="70" t="s">
        <v>85</v>
      </c>
    </row>
    <row r="150" spans="1:41" x14ac:dyDescent="0.25">
      <c r="A150" s="70">
        <v>53851</v>
      </c>
      <c r="B150" s="70">
        <v>2017</v>
      </c>
      <c r="C150" s="70" t="s">
        <v>65</v>
      </c>
      <c r="D150" s="70" t="s">
        <v>275</v>
      </c>
      <c r="E150" s="70" t="s">
        <v>276</v>
      </c>
      <c r="F150" s="70">
        <v>5624</v>
      </c>
      <c r="G150" s="70" t="s">
        <v>191</v>
      </c>
      <c r="H150" s="71">
        <v>0</v>
      </c>
      <c r="I150" s="71">
        <v>0</v>
      </c>
      <c r="J150" s="71">
        <v>0</v>
      </c>
      <c r="K150" s="71">
        <v>0</v>
      </c>
      <c r="L150" s="71">
        <v>0</v>
      </c>
      <c r="M150" s="71">
        <v>0</v>
      </c>
      <c r="N150" s="71">
        <v>0</v>
      </c>
      <c r="O150" s="71">
        <v>2</v>
      </c>
      <c r="P150" s="71">
        <v>0</v>
      </c>
      <c r="Q150" s="71">
        <v>0</v>
      </c>
      <c r="R150" s="71">
        <v>0</v>
      </c>
      <c r="S150" s="71">
        <v>0</v>
      </c>
      <c r="T150" s="68">
        <f t="shared" si="19"/>
        <v>2</v>
      </c>
      <c r="U150" s="71">
        <v>2</v>
      </c>
      <c r="V150" s="33">
        <f t="shared" si="20"/>
        <v>1</v>
      </c>
      <c r="W150" s="69">
        <f t="shared" si="21"/>
        <v>14686</v>
      </c>
      <c r="X150" s="69">
        <f t="shared" si="22"/>
        <v>14686</v>
      </c>
      <c r="Y150" s="70" t="s">
        <v>188</v>
      </c>
      <c r="Z150" s="72">
        <v>7343</v>
      </c>
      <c r="AA150" s="70" t="s">
        <v>277</v>
      </c>
      <c r="AB150" s="68">
        <f t="shared" si="23"/>
        <v>0</v>
      </c>
      <c r="AC150" s="73">
        <v>42964</v>
      </c>
      <c r="AD150" s="73">
        <v>42995</v>
      </c>
      <c r="AE150" s="70" t="s">
        <v>57</v>
      </c>
      <c r="AF150" s="71">
        <v>0</v>
      </c>
      <c r="AG150" s="71">
        <v>0</v>
      </c>
      <c r="AH150" s="32">
        <f t="shared" si="24"/>
        <v>2</v>
      </c>
      <c r="AI150" s="71">
        <v>2</v>
      </c>
      <c r="AJ150" s="33">
        <f t="shared" si="25"/>
        <v>1</v>
      </c>
      <c r="AK150" s="69">
        <f t="shared" si="26"/>
        <v>14686</v>
      </c>
      <c r="AL150" s="69">
        <f t="shared" si="27"/>
        <v>14686</v>
      </c>
      <c r="AM150" s="70" t="s">
        <v>91</v>
      </c>
      <c r="AN150" s="70" t="s">
        <v>82</v>
      </c>
      <c r="AO150" s="70" t="s">
        <v>85</v>
      </c>
    </row>
    <row r="151" spans="1:41" x14ac:dyDescent="0.25">
      <c r="A151" s="70">
        <v>1525</v>
      </c>
      <c r="B151" s="70">
        <v>2017</v>
      </c>
      <c r="C151" s="70" t="s">
        <v>65</v>
      </c>
      <c r="D151" s="70" t="s">
        <v>275</v>
      </c>
      <c r="E151" s="70" t="s">
        <v>276</v>
      </c>
      <c r="F151" s="70">
        <v>5653</v>
      </c>
      <c r="G151" s="70" t="s">
        <v>263</v>
      </c>
      <c r="H151" s="71">
        <v>0</v>
      </c>
      <c r="I151" s="71">
        <v>0</v>
      </c>
      <c r="J151" s="71">
        <v>0</v>
      </c>
      <c r="K151" s="71">
        <v>0</v>
      </c>
      <c r="L151" s="71">
        <v>0</v>
      </c>
      <c r="M151" s="71">
        <v>0</v>
      </c>
      <c r="N151" s="71">
        <v>0</v>
      </c>
      <c r="O151" s="71">
        <v>18</v>
      </c>
      <c r="P151" s="71">
        <v>0</v>
      </c>
      <c r="Q151" s="71">
        <v>0</v>
      </c>
      <c r="R151" s="71">
        <v>0</v>
      </c>
      <c r="S151" s="71">
        <v>0</v>
      </c>
      <c r="T151" s="68">
        <f t="shared" si="19"/>
        <v>18</v>
      </c>
      <c r="U151" s="71">
        <v>18</v>
      </c>
      <c r="V151" s="33">
        <f t="shared" si="20"/>
        <v>1</v>
      </c>
      <c r="W151" s="69">
        <f t="shared" si="21"/>
        <v>138585.60000000001</v>
      </c>
      <c r="X151" s="69">
        <f t="shared" si="22"/>
        <v>138585.60000000001</v>
      </c>
      <c r="Y151" s="70" t="s">
        <v>188</v>
      </c>
      <c r="Z151" s="72">
        <v>7699.2</v>
      </c>
      <c r="AA151" s="70" t="s">
        <v>278</v>
      </c>
      <c r="AB151" s="68">
        <f t="shared" si="23"/>
        <v>0</v>
      </c>
      <c r="AC151" s="73">
        <v>42956</v>
      </c>
      <c r="AD151" s="73">
        <v>42987</v>
      </c>
      <c r="AE151" s="70" t="s">
        <v>57</v>
      </c>
      <c r="AF151" s="71">
        <v>0</v>
      </c>
      <c r="AG151" s="71">
        <v>0</v>
      </c>
      <c r="AH151" s="32">
        <f t="shared" si="24"/>
        <v>18</v>
      </c>
      <c r="AI151" s="71">
        <v>18</v>
      </c>
      <c r="AJ151" s="33">
        <f t="shared" si="25"/>
        <v>1</v>
      </c>
      <c r="AK151" s="69">
        <f t="shared" si="26"/>
        <v>138585.60000000001</v>
      </c>
      <c r="AL151" s="69">
        <f t="shared" si="27"/>
        <v>138585.60000000001</v>
      </c>
      <c r="AM151" s="70" t="s">
        <v>91</v>
      </c>
      <c r="AN151" s="70" t="s">
        <v>82</v>
      </c>
      <c r="AO151" s="70" t="s">
        <v>85</v>
      </c>
    </row>
    <row r="152" spans="1:41" x14ac:dyDescent="0.25">
      <c r="A152" s="70">
        <v>51608</v>
      </c>
      <c r="B152" s="70">
        <v>2017</v>
      </c>
      <c r="C152" s="70" t="s">
        <v>65</v>
      </c>
      <c r="D152" s="70" t="s">
        <v>149</v>
      </c>
      <c r="E152" s="70" t="s">
        <v>149</v>
      </c>
      <c r="F152" s="70">
        <v>5452</v>
      </c>
      <c r="G152" s="70" t="s">
        <v>221</v>
      </c>
      <c r="H152" s="71">
        <v>0</v>
      </c>
      <c r="I152" s="71">
        <v>5</v>
      </c>
      <c r="J152" s="71">
        <v>0</v>
      </c>
      <c r="K152" s="71">
        <v>0</v>
      </c>
      <c r="L152" s="71">
        <v>0</v>
      </c>
      <c r="M152" s="71">
        <v>0</v>
      </c>
      <c r="N152" s="71">
        <v>0</v>
      </c>
      <c r="O152" s="71">
        <v>0</v>
      </c>
      <c r="P152" s="71">
        <v>0</v>
      </c>
      <c r="Q152" s="71">
        <v>0</v>
      </c>
      <c r="R152" s="71">
        <v>0</v>
      </c>
      <c r="S152" s="71">
        <v>0</v>
      </c>
      <c r="T152" s="68">
        <f t="shared" si="19"/>
        <v>5</v>
      </c>
      <c r="U152" s="71">
        <v>5</v>
      </c>
      <c r="V152" s="33">
        <f t="shared" si="20"/>
        <v>1</v>
      </c>
      <c r="W152" s="69">
        <f t="shared" si="21"/>
        <v>67965</v>
      </c>
      <c r="X152" s="69">
        <f t="shared" si="22"/>
        <v>67965</v>
      </c>
      <c r="Y152" s="70" t="s">
        <v>188</v>
      </c>
      <c r="Z152" s="72">
        <v>13593</v>
      </c>
      <c r="AA152" s="70" t="s">
        <v>150</v>
      </c>
      <c r="AB152" s="68">
        <f t="shared" si="23"/>
        <v>0</v>
      </c>
      <c r="AC152" s="73">
        <v>42779</v>
      </c>
      <c r="AD152" s="73">
        <v>42819</v>
      </c>
      <c r="AE152" s="70" t="s">
        <v>57</v>
      </c>
      <c r="AF152" s="71">
        <v>0</v>
      </c>
      <c r="AG152" s="71">
        <v>0</v>
      </c>
      <c r="AH152" s="32">
        <f t="shared" si="24"/>
        <v>5</v>
      </c>
      <c r="AI152" s="71">
        <v>5</v>
      </c>
      <c r="AJ152" s="33">
        <f t="shared" si="25"/>
        <v>1</v>
      </c>
      <c r="AK152" s="69">
        <f t="shared" si="26"/>
        <v>67965</v>
      </c>
      <c r="AL152" s="69">
        <f t="shared" si="27"/>
        <v>67965</v>
      </c>
      <c r="AM152" s="70" t="s">
        <v>81</v>
      </c>
      <c r="AN152" s="70" t="s">
        <v>82</v>
      </c>
      <c r="AO152" s="70" t="s">
        <v>85</v>
      </c>
    </row>
    <row r="153" spans="1:41" x14ac:dyDescent="0.25">
      <c r="A153" s="70" t="s">
        <v>169</v>
      </c>
      <c r="B153" s="70">
        <v>2017</v>
      </c>
      <c r="C153" s="70" t="s">
        <v>65</v>
      </c>
      <c r="D153" s="70" t="s">
        <v>149</v>
      </c>
      <c r="E153" s="70" t="s">
        <v>149</v>
      </c>
      <c r="F153" s="70">
        <v>5452</v>
      </c>
      <c r="G153" s="70" t="s">
        <v>221</v>
      </c>
      <c r="H153" s="71">
        <v>0</v>
      </c>
      <c r="I153" s="71">
        <v>0</v>
      </c>
      <c r="J153" s="71">
        <v>11</v>
      </c>
      <c r="K153" s="71">
        <v>0</v>
      </c>
      <c r="L153" s="71">
        <v>7</v>
      </c>
      <c r="M153" s="71">
        <v>0</v>
      </c>
      <c r="N153" s="71">
        <v>0</v>
      </c>
      <c r="O153" s="71">
        <v>7</v>
      </c>
      <c r="P153" s="71">
        <v>0</v>
      </c>
      <c r="Q153" s="71">
        <v>0</v>
      </c>
      <c r="R153" s="71">
        <v>0</v>
      </c>
      <c r="S153" s="71">
        <v>0</v>
      </c>
      <c r="T153" s="68">
        <f t="shared" si="19"/>
        <v>25</v>
      </c>
      <c r="U153" s="71">
        <v>25</v>
      </c>
      <c r="V153" s="33">
        <f t="shared" si="20"/>
        <v>1</v>
      </c>
      <c r="W153" s="69">
        <f t="shared" si="21"/>
        <v>339825</v>
      </c>
      <c r="X153" s="69">
        <f t="shared" si="22"/>
        <v>339825</v>
      </c>
      <c r="Y153" s="70" t="s">
        <v>188</v>
      </c>
      <c r="Z153" s="72">
        <v>13593</v>
      </c>
      <c r="AA153" s="70" t="s">
        <v>170</v>
      </c>
      <c r="AB153" s="68">
        <f t="shared" si="23"/>
        <v>0</v>
      </c>
      <c r="AC153" s="73">
        <v>42776</v>
      </c>
      <c r="AD153" s="73">
        <v>43085</v>
      </c>
      <c r="AE153" s="70" t="s">
        <v>57</v>
      </c>
      <c r="AF153" s="71">
        <v>0</v>
      </c>
      <c r="AG153" s="71">
        <v>0</v>
      </c>
      <c r="AH153" s="32">
        <f t="shared" si="24"/>
        <v>25</v>
      </c>
      <c r="AI153" s="71">
        <v>25</v>
      </c>
      <c r="AJ153" s="33">
        <f t="shared" si="25"/>
        <v>1</v>
      </c>
      <c r="AK153" s="69">
        <f t="shared" si="26"/>
        <v>339825</v>
      </c>
      <c r="AL153" s="69">
        <f t="shared" si="27"/>
        <v>339825</v>
      </c>
      <c r="AM153" s="70" t="s">
        <v>81</v>
      </c>
      <c r="AN153" s="70" t="s">
        <v>82</v>
      </c>
      <c r="AO153" s="70" t="s">
        <v>85</v>
      </c>
    </row>
    <row r="154" spans="1:41" x14ac:dyDescent="0.25">
      <c r="A154" s="70" t="s">
        <v>151</v>
      </c>
      <c r="B154" s="70">
        <v>2017</v>
      </c>
      <c r="C154" s="70" t="s">
        <v>65</v>
      </c>
      <c r="D154" s="70" t="s">
        <v>149</v>
      </c>
      <c r="E154" s="70" t="s">
        <v>149</v>
      </c>
      <c r="F154" s="70">
        <v>5452</v>
      </c>
      <c r="G154" s="70" t="s">
        <v>221</v>
      </c>
      <c r="H154" s="71">
        <v>0</v>
      </c>
      <c r="I154" s="71">
        <v>0</v>
      </c>
      <c r="J154" s="71">
        <v>0</v>
      </c>
      <c r="K154" s="71">
        <v>0</v>
      </c>
      <c r="L154" s="71">
        <v>0</v>
      </c>
      <c r="M154" s="71">
        <v>0</v>
      </c>
      <c r="N154" s="71">
        <v>0</v>
      </c>
      <c r="O154" s="71">
        <v>0</v>
      </c>
      <c r="P154" s="71">
        <v>0</v>
      </c>
      <c r="Q154" s="71">
        <v>0</v>
      </c>
      <c r="R154" s="71">
        <v>14</v>
      </c>
      <c r="S154" s="71">
        <v>0</v>
      </c>
      <c r="T154" s="68">
        <f t="shared" si="19"/>
        <v>14</v>
      </c>
      <c r="U154" s="71">
        <v>14</v>
      </c>
      <c r="V154" s="33">
        <f t="shared" si="20"/>
        <v>1</v>
      </c>
      <c r="W154" s="69">
        <f t="shared" si="21"/>
        <v>190302</v>
      </c>
      <c r="X154" s="69">
        <f t="shared" si="22"/>
        <v>190302</v>
      </c>
      <c r="Y154" s="70" t="s">
        <v>188</v>
      </c>
      <c r="Z154" s="72">
        <v>13593</v>
      </c>
      <c r="AA154" s="70" t="s">
        <v>152</v>
      </c>
      <c r="AB154" s="68">
        <f t="shared" si="23"/>
        <v>0</v>
      </c>
      <c r="AC154" s="73">
        <v>43021</v>
      </c>
      <c r="AD154" s="73">
        <v>43094</v>
      </c>
      <c r="AE154" s="70" t="s">
        <v>57</v>
      </c>
      <c r="AF154" s="71">
        <v>0</v>
      </c>
      <c r="AG154" s="71">
        <v>0</v>
      </c>
      <c r="AH154" s="32">
        <f t="shared" si="24"/>
        <v>14</v>
      </c>
      <c r="AI154" s="71">
        <v>14</v>
      </c>
      <c r="AJ154" s="33">
        <f t="shared" si="25"/>
        <v>1</v>
      </c>
      <c r="AK154" s="69">
        <f t="shared" si="26"/>
        <v>190302</v>
      </c>
      <c r="AL154" s="69">
        <f t="shared" si="27"/>
        <v>190302</v>
      </c>
      <c r="AM154" s="70" t="s">
        <v>81</v>
      </c>
      <c r="AN154" s="70" t="s">
        <v>82</v>
      </c>
      <c r="AO154" s="70" t="s">
        <v>85</v>
      </c>
    </row>
    <row r="155" spans="1:41" x14ac:dyDescent="0.25">
      <c r="A155" s="70">
        <v>51608</v>
      </c>
      <c r="B155" s="70">
        <v>2017</v>
      </c>
      <c r="C155" s="70" t="s">
        <v>65</v>
      </c>
      <c r="D155" s="70" t="s">
        <v>149</v>
      </c>
      <c r="E155" s="70" t="s">
        <v>149</v>
      </c>
      <c r="F155" s="70">
        <v>5653</v>
      </c>
      <c r="G155" s="70" t="s">
        <v>263</v>
      </c>
      <c r="H155" s="71">
        <v>0</v>
      </c>
      <c r="I155" s="71">
        <v>4</v>
      </c>
      <c r="J155" s="71">
        <v>0</v>
      </c>
      <c r="K155" s="71">
        <v>0</v>
      </c>
      <c r="L155" s="71">
        <v>0</v>
      </c>
      <c r="M155" s="71">
        <v>0</v>
      </c>
      <c r="N155" s="71">
        <v>0</v>
      </c>
      <c r="O155" s="71">
        <v>0</v>
      </c>
      <c r="P155" s="71">
        <v>0</v>
      </c>
      <c r="Q155" s="71">
        <v>0</v>
      </c>
      <c r="R155" s="71">
        <v>0</v>
      </c>
      <c r="S155" s="71">
        <v>0</v>
      </c>
      <c r="T155" s="68">
        <f t="shared" si="19"/>
        <v>4</v>
      </c>
      <c r="U155" s="71">
        <v>4</v>
      </c>
      <c r="V155" s="33">
        <f t="shared" si="20"/>
        <v>1</v>
      </c>
      <c r="W155" s="69">
        <f t="shared" si="21"/>
        <v>30796.799999999999</v>
      </c>
      <c r="X155" s="69">
        <f t="shared" si="22"/>
        <v>30796.799999999999</v>
      </c>
      <c r="Y155" s="70" t="s">
        <v>188</v>
      </c>
      <c r="Z155" s="72">
        <v>7699.2</v>
      </c>
      <c r="AA155" s="70" t="s">
        <v>150</v>
      </c>
      <c r="AB155" s="68">
        <f t="shared" si="23"/>
        <v>0</v>
      </c>
      <c r="AC155" s="73">
        <v>42779</v>
      </c>
      <c r="AD155" s="73">
        <v>42819</v>
      </c>
      <c r="AE155" s="70" t="s">
        <v>57</v>
      </c>
      <c r="AF155" s="71">
        <v>0</v>
      </c>
      <c r="AG155" s="71">
        <v>0</v>
      </c>
      <c r="AH155" s="32">
        <f t="shared" si="24"/>
        <v>4</v>
      </c>
      <c r="AI155" s="71">
        <v>4</v>
      </c>
      <c r="AJ155" s="33">
        <f t="shared" si="25"/>
        <v>1</v>
      </c>
      <c r="AK155" s="69">
        <f t="shared" si="26"/>
        <v>30796.799999999999</v>
      </c>
      <c r="AL155" s="69">
        <f t="shared" si="27"/>
        <v>30796.799999999999</v>
      </c>
      <c r="AM155" s="70" t="s">
        <v>81</v>
      </c>
      <c r="AN155" s="70" t="s">
        <v>82</v>
      </c>
      <c r="AO155" s="70" t="s">
        <v>85</v>
      </c>
    </row>
    <row r="156" spans="1:41" x14ac:dyDescent="0.25">
      <c r="A156" s="70" t="s">
        <v>169</v>
      </c>
      <c r="B156" s="70">
        <v>2017</v>
      </c>
      <c r="C156" s="70" t="s">
        <v>65</v>
      </c>
      <c r="D156" s="70" t="s">
        <v>149</v>
      </c>
      <c r="E156" s="70" t="s">
        <v>149</v>
      </c>
      <c r="F156" s="70">
        <v>5653</v>
      </c>
      <c r="G156" s="70" t="s">
        <v>263</v>
      </c>
      <c r="H156" s="71">
        <v>0</v>
      </c>
      <c r="I156" s="71">
        <v>0</v>
      </c>
      <c r="J156" s="71">
        <v>8</v>
      </c>
      <c r="K156" s="71">
        <v>0</v>
      </c>
      <c r="L156" s="71">
        <v>6</v>
      </c>
      <c r="M156" s="71">
        <v>0</v>
      </c>
      <c r="N156" s="71">
        <v>0</v>
      </c>
      <c r="O156" s="71">
        <v>6</v>
      </c>
      <c r="P156" s="71">
        <v>0</v>
      </c>
      <c r="Q156" s="71">
        <v>0</v>
      </c>
      <c r="R156" s="71">
        <v>0</v>
      </c>
      <c r="S156" s="71">
        <v>0</v>
      </c>
      <c r="T156" s="68">
        <f t="shared" si="19"/>
        <v>20</v>
      </c>
      <c r="U156" s="71">
        <v>20</v>
      </c>
      <c r="V156" s="33">
        <f t="shared" si="20"/>
        <v>1</v>
      </c>
      <c r="W156" s="69">
        <f t="shared" si="21"/>
        <v>153984</v>
      </c>
      <c r="X156" s="69">
        <f t="shared" si="22"/>
        <v>153984</v>
      </c>
      <c r="Y156" s="70" t="s">
        <v>188</v>
      </c>
      <c r="Z156" s="72">
        <v>7699.2</v>
      </c>
      <c r="AA156" s="70" t="s">
        <v>170</v>
      </c>
      <c r="AB156" s="68">
        <f t="shared" si="23"/>
        <v>0</v>
      </c>
      <c r="AC156" s="73">
        <v>42776</v>
      </c>
      <c r="AD156" s="73">
        <v>43085</v>
      </c>
      <c r="AE156" s="70" t="s">
        <v>57</v>
      </c>
      <c r="AF156" s="71">
        <v>0</v>
      </c>
      <c r="AG156" s="71">
        <v>0</v>
      </c>
      <c r="AH156" s="32">
        <f t="shared" si="24"/>
        <v>20</v>
      </c>
      <c r="AI156" s="71">
        <v>20</v>
      </c>
      <c r="AJ156" s="33">
        <f t="shared" si="25"/>
        <v>1</v>
      </c>
      <c r="AK156" s="69">
        <f t="shared" si="26"/>
        <v>153984</v>
      </c>
      <c r="AL156" s="69">
        <f t="shared" si="27"/>
        <v>153984</v>
      </c>
      <c r="AM156" s="70" t="s">
        <v>81</v>
      </c>
      <c r="AN156" s="70" t="s">
        <v>82</v>
      </c>
      <c r="AO156" s="70" t="s">
        <v>85</v>
      </c>
    </row>
    <row r="157" spans="1:41" x14ac:dyDescent="0.25">
      <c r="A157" s="70" t="s">
        <v>151</v>
      </c>
      <c r="B157" s="70">
        <v>2017</v>
      </c>
      <c r="C157" s="70" t="s">
        <v>65</v>
      </c>
      <c r="D157" s="70" t="s">
        <v>149</v>
      </c>
      <c r="E157" s="70" t="s">
        <v>149</v>
      </c>
      <c r="F157" s="70">
        <v>5653</v>
      </c>
      <c r="G157" s="70" t="s">
        <v>263</v>
      </c>
      <c r="H157" s="71">
        <v>0</v>
      </c>
      <c r="I157" s="71">
        <v>0</v>
      </c>
      <c r="J157" s="71">
        <v>0</v>
      </c>
      <c r="K157" s="71">
        <v>0</v>
      </c>
      <c r="L157" s="71">
        <v>0</v>
      </c>
      <c r="M157" s="71">
        <v>0</v>
      </c>
      <c r="N157" s="71">
        <v>0</v>
      </c>
      <c r="O157" s="71">
        <v>0</v>
      </c>
      <c r="P157" s="71">
        <v>0</v>
      </c>
      <c r="Q157" s="71">
        <v>0</v>
      </c>
      <c r="R157" s="71">
        <v>8</v>
      </c>
      <c r="S157" s="71">
        <v>0</v>
      </c>
      <c r="T157" s="68">
        <f t="shared" si="19"/>
        <v>8</v>
      </c>
      <c r="U157" s="71">
        <v>8</v>
      </c>
      <c r="V157" s="33">
        <f t="shared" si="20"/>
        <v>1</v>
      </c>
      <c r="W157" s="69">
        <f t="shared" si="21"/>
        <v>61593.599999999999</v>
      </c>
      <c r="X157" s="69">
        <f t="shared" si="22"/>
        <v>61593.599999999999</v>
      </c>
      <c r="Y157" s="70" t="s">
        <v>188</v>
      </c>
      <c r="Z157" s="72">
        <v>7699.2</v>
      </c>
      <c r="AA157" s="70" t="s">
        <v>152</v>
      </c>
      <c r="AB157" s="68">
        <f t="shared" si="23"/>
        <v>0</v>
      </c>
      <c r="AC157" s="73">
        <v>43021</v>
      </c>
      <c r="AD157" s="73">
        <v>43094</v>
      </c>
      <c r="AE157" s="70" t="s">
        <v>57</v>
      </c>
      <c r="AF157" s="71">
        <v>0</v>
      </c>
      <c r="AG157" s="71">
        <v>0</v>
      </c>
      <c r="AH157" s="32">
        <f t="shared" si="24"/>
        <v>8</v>
      </c>
      <c r="AI157" s="71">
        <v>8</v>
      </c>
      <c r="AJ157" s="33">
        <f t="shared" si="25"/>
        <v>1</v>
      </c>
      <c r="AK157" s="69">
        <f t="shared" si="26"/>
        <v>61593.599999999999</v>
      </c>
      <c r="AL157" s="69">
        <f t="shared" si="27"/>
        <v>61593.599999999999</v>
      </c>
      <c r="AM157" s="70" t="s">
        <v>81</v>
      </c>
      <c r="AN157" s="70" t="s">
        <v>82</v>
      </c>
      <c r="AO157" s="70" t="s">
        <v>85</v>
      </c>
    </row>
    <row r="158" spans="1:41" x14ac:dyDescent="0.25">
      <c r="A158" s="70">
        <v>52825</v>
      </c>
      <c r="B158" s="70">
        <v>2017</v>
      </c>
      <c r="C158" s="70" t="s">
        <v>69</v>
      </c>
      <c r="D158" s="70" t="s">
        <v>69</v>
      </c>
      <c r="E158" s="70" t="s">
        <v>145</v>
      </c>
      <c r="F158" s="70">
        <v>5624</v>
      </c>
      <c r="G158" s="70" t="s">
        <v>191</v>
      </c>
      <c r="H158" s="71">
        <v>0</v>
      </c>
      <c r="I158" s="71">
        <v>0</v>
      </c>
      <c r="J158" s="71">
        <v>0</v>
      </c>
      <c r="K158" s="71">
        <v>2</v>
      </c>
      <c r="L158" s="71">
        <v>0</v>
      </c>
      <c r="M158" s="71">
        <v>0</v>
      </c>
      <c r="N158" s="71">
        <v>0</v>
      </c>
      <c r="O158" s="71">
        <v>0</v>
      </c>
      <c r="P158" s="71">
        <v>0</v>
      </c>
      <c r="Q158" s="71">
        <v>0</v>
      </c>
      <c r="R158" s="71">
        <v>0</v>
      </c>
      <c r="S158" s="71">
        <v>0</v>
      </c>
      <c r="T158" s="68">
        <f t="shared" si="19"/>
        <v>2</v>
      </c>
      <c r="U158" s="71">
        <v>2</v>
      </c>
      <c r="V158" s="33">
        <f t="shared" si="20"/>
        <v>1</v>
      </c>
      <c r="W158" s="69">
        <f t="shared" si="21"/>
        <v>14686</v>
      </c>
      <c r="X158" s="69">
        <f t="shared" si="22"/>
        <v>14686</v>
      </c>
      <c r="Y158" s="70" t="s">
        <v>188</v>
      </c>
      <c r="Z158" s="72">
        <v>7343</v>
      </c>
      <c r="AA158" s="70" t="s">
        <v>171</v>
      </c>
      <c r="AB158" s="68">
        <f t="shared" si="23"/>
        <v>0</v>
      </c>
      <c r="AC158" s="73">
        <v>42849</v>
      </c>
      <c r="AD158" s="73">
        <v>42879</v>
      </c>
      <c r="AE158" s="70" t="s">
        <v>57</v>
      </c>
      <c r="AF158" s="71">
        <v>0</v>
      </c>
      <c r="AG158" s="71">
        <v>0</v>
      </c>
      <c r="AH158" s="32">
        <f t="shared" si="24"/>
        <v>2</v>
      </c>
      <c r="AI158" s="71">
        <v>2</v>
      </c>
      <c r="AJ158" s="33">
        <f t="shared" si="25"/>
        <v>1</v>
      </c>
      <c r="AK158" s="69">
        <f t="shared" si="26"/>
        <v>14686</v>
      </c>
      <c r="AL158" s="69">
        <f t="shared" si="27"/>
        <v>14686</v>
      </c>
      <c r="AM158" s="70" t="s">
        <v>118</v>
      </c>
      <c r="AN158" s="70" t="s">
        <v>82</v>
      </c>
      <c r="AO158" s="70" t="s">
        <v>85</v>
      </c>
    </row>
    <row r="159" spans="1:41" x14ac:dyDescent="0.25">
      <c r="A159" s="70">
        <v>52933</v>
      </c>
      <c r="B159" s="70">
        <v>2017</v>
      </c>
      <c r="C159" s="70" t="s">
        <v>69</v>
      </c>
      <c r="D159" s="70" t="s">
        <v>69</v>
      </c>
      <c r="E159" s="70" t="s">
        <v>145</v>
      </c>
      <c r="F159" s="70">
        <v>5624</v>
      </c>
      <c r="G159" s="70" t="s">
        <v>191</v>
      </c>
      <c r="H159" s="71">
        <v>0</v>
      </c>
      <c r="I159" s="71">
        <v>0</v>
      </c>
      <c r="J159" s="71">
        <v>0</v>
      </c>
      <c r="K159" s="71">
        <v>0</v>
      </c>
      <c r="L159" s="71">
        <v>2</v>
      </c>
      <c r="M159" s="71">
        <v>0</v>
      </c>
      <c r="N159" s="71">
        <v>0</v>
      </c>
      <c r="O159" s="71">
        <v>0</v>
      </c>
      <c r="P159" s="71">
        <v>0</v>
      </c>
      <c r="Q159" s="71">
        <v>0</v>
      </c>
      <c r="R159" s="71">
        <v>0</v>
      </c>
      <c r="S159" s="71">
        <v>0</v>
      </c>
      <c r="T159" s="68">
        <f t="shared" si="19"/>
        <v>2</v>
      </c>
      <c r="U159" s="71">
        <v>2</v>
      </c>
      <c r="V159" s="33">
        <f t="shared" si="20"/>
        <v>1</v>
      </c>
      <c r="W159" s="69">
        <f t="shared" si="21"/>
        <v>14686</v>
      </c>
      <c r="X159" s="69">
        <f t="shared" si="22"/>
        <v>14686</v>
      </c>
      <c r="Y159" s="70" t="s">
        <v>188</v>
      </c>
      <c r="Z159" s="72">
        <v>7343</v>
      </c>
      <c r="AA159" s="70" t="s">
        <v>279</v>
      </c>
      <c r="AB159" s="68">
        <f t="shared" si="23"/>
        <v>0</v>
      </c>
      <c r="AC159" s="73">
        <v>42858</v>
      </c>
      <c r="AD159" s="73">
        <v>42889</v>
      </c>
      <c r="AE159" s="70" t="s">
        <v>57</v>
      </c>
      <c r="AF159" s="71">
        <v>0</v>
      </c>
      <c r="AG159" s="71">
        <v>0</v>
      </c>
      <c r="AH159" s="32">
        <f t="shared" si="24"/>
        <v>2</v>
      </c>
      <c r="AI159" s="71">
        <v>2</v>
      </c>
      <c r="AJ159" s="33">
        <f t="shared" si="25"/>
        <v>1</v>
      </c>
      <c r="AK159" s="69">
        <f t="shared" si="26"/>
        <v>14686</v>
      </c>
      <c r="AL159" s="69">
        <f t="shared" si="27"/>
        <v>14686</v>
      </c>
      <c r="AM159" s="70" t="s">
        <v>118</v>
      </c>
      <c r="AN159" s="70" t="s">
        <v>82</v>
      </c>
      <c r="AO159" s="70" t="s">
        <v>85</v>
      </c>
    </row>
    <row r="160" spans="1:41" x14ac:dyDescent="0.25">
      <c r="A160" s="70">
        <v>1667</v>
      </c>
      <c r="B160" s="70">
        <v>2017</v>
      </c>
      <c r="C160" s="70" t="s">
        <v>69</v>
      </c>
      <c r="D160" s="70" t="s">
        <v>69</v>
      </c>
      <c r="E160" s="70" t="s">
        <v>145</v>
      </c>
      <c r="F160" s="70">
        <v>6086</v>
      </c>
      <c r="G160" s="70" t="s">
        <v>214</v>
      </c>
      <c r="H160" s="71">
        <v>0</v>
      </c>
      <c r="I160" s="71">
        <v>0</v>
      </c>
      <c r="J160" s="71">
        <v>0</v>
      </c>
      <c r="K160" s="71">
        <v>0</v>
      </c>
      <c r="L160" s="71">
        <v>0</v>
      </c>
      <c r="M160" s="71">
        <v>0</v>
      </c>
      <c r="N160" s="71">
        <v>0</v>
      </c>
      <c r="O160" s="71">
        <v>6</v>
      </c>
      <c r="P160" s="71">
        <v>0</v>
      </c>
      <c r="Q160" s="71">
        <v>0</v>
      </c>
      <c r="R160" s="71">
        <v>0</v>
      </c>
      <c r="S160" s="71">
        <v>0</v>
      </c>
      <c r="T160" s="68">
        <f t="shared" si="19"/>
        <v>6</v>
      </c>
      <c r="U160" s="71">
        <v>6</v>
      </c>
      <c r="V160" s="33">
        <f t="shared" si="20"/>
        <v>1</v>
      </c>
      <c r="W160" s="69">
        <f t="shared" si="21"/>
        <v>110007.42</v>
      </c>
      <c r="X160" s="69">
        <f t="shared" si="22"/>
        <v>110007.42</v>
      </c>
      <c r="Y160" s="70" t="s">
        <v>188</v>
      </c>
      <c r="Z160" s="72">
        <v>18334.57</v>
      </c>
      <c r="AA160" s="70" t="s">
        <v>172</v>
      </c>
      <c r="AB160" s="68">
        <f t="shared" si="23"/>
        <v>0</v>
      </c>
      <c r="AC160" s="73">
        <v>42969</v>
      </c>
      <c r="AD160" s="73">
        <v>43000</v>
      </c>
      <c r="AE160" s="70" t="s">
        <v>57</v>
      </c>
      <c r="AF160" s="71">
        <v>0</v>
      </c>
      <c r="AG160" s="71">
        <v>0</v>
      </c>
      <c r="AH160" s="32">
        <f t="shared" si="24"/>
        <v>6</v>
      </c>
      <c r="AI160" s="71">
        <v>6</v>
      </c>
      <c r="AJ160" s="33">
        <f t="shared" si="25"/>
        <v>1</v>
      </c>
      <c r="AK160" s="69">
        <f t="shared" si="26"/>
        <v>110007.42</v>
      </c>
      <c r="AL160" s="69">
        <f t="shared" si="27"/>
        <v>110007.42</v>
      </c>
      <c r="AM160" s="70" t="s">
        <v>118</v>
      </c>
      <c r="AN160" s="70" t="s">
        <v>82</v>
      </c>
      <c r="AO160" s="70" t="s">
        <v>85</v>
      </c>
    </row>
    <row r="161" spans="1:41" x14ac:dyDescent="0.25">
      <c r="A161" s="70">
        <v>55197</v>
      </c>
      <c r="B161" s="70">
        <v>2017</v>
      </c>
      <c r="C161" s="70" t="s">
        <v>69</v>
      </c>
      <c r="D161" s="70" t="s">
        <v>69</v>
      </c>
      <c r="E161" s="70" t="s">
        <v>145</v>
      </c>
      <c r="F161" s="70">
        <v>6086</v>
      </c>
      <c r="G161" s="70" t="s">
        <v>214</v>
      </c>
      <c r="H161" s="71">
        <v>0</v>
      </c>
      <c r="I161" s="71">
        <v>0</v>
      </c>
      <c r="J161" s="71">
        <v>0</v>
      </c>
      <c r="K161" s="71">
        <v>0</v>
      </c>
      <c r="L161" s="71">
        <v>0</v>
      </c>
      <c r="M161" s="71">
        <v>0</v>
      </c>
      <c r="N161" s="71">
        <v>0</v>
      </c>
      <c r="O161" s="71">
        <v>0</v>
      </c>
      <c r="P161" s="71">
        <v>0</v>
      </c>
      <c r="Q161" s="71">
        <v>0</v>
      </c>
      <c r="R161" s="71">
        <v>0</v>
      </c>
      <c r="S161" s="71">
        <v>3</v>
      </c>
      <c r="T161" s="68">
        <f t="shared" si="19"/>
        <v>3</v>
      </c>
      <c r="U161" s="71">
        <v>3</v>
      </c>
      <c r="V161" s="33">
        <f t="shared" si="20"/>
        <v>1</v>
      </c>
      <c r="W161" s="69">
        <f t="shared" si="21"/>
        <v>55003.71</v>
      </c>
      <c r="X161" s="69">
        <f t="shared" si="22"/>
        <v>55003.71</v>
      </c>
      <c r="Y161" s="70" t="s">
        <v>188</v>
      </c>
      <c r="Z161" s="72">
        <v>18334.57</v>
      </c>
      <c r="AA161" s="70" t="s">
        <v>280</v>
      </c>
      <c r="AB161" s="68">
        <f t="shared" si="23"/>
        <v>0</v>
      </c>
      <c r="AC161" s="73">
        <v>43083</v>
      </c>
      <c r="AD161" s="73">
        <v>43091</v>
      </c>
      <c r="AE161" s="70" t="s">
        <v>57</v>
      </c>
      <c r="AF161" s="71">
        <v>0</v>
      </c>
      <c r="AG161" s="71">
        <v>0</v>
      </c>
      <c r="AH161" s="32">
        <f t="shared" si="24"/>
        <v>3</v>
      </c>
      <c r="AI161" s="71">
        <v>3</v>
      </c>
      <c r="AJ161" s="33">
        <f t="shared" si="25"/>
        <v>1</v>
      </c>
      <c r="AK161" s="69">
        <f t="shared" si="26"/>
        <v>55003.71</v>
      </c>
      <c r="AL161" s="69">
        <f t="shared" si="27"/>
        <v>55003.71</v>
      </c>
      <c r="AM161" s="70" t="s">
        <v>118</v>
      </c>
      <c r="AN161" s="70" t="s">
        <v>82</v>
      </c>
      <c r="AO161" s="70" t="s">
        <v>85</v>
      </c>
    </row>
    <row r="162" spans="1:41" x14ac:dyDescent="0.25">
      <c r="A162" s="70">
        <v>18562466</v>
      </c>
      <c r="B162" s="70">
        <v>2017</v>
      </c>
      <c r="C162" s="70" t="s">
        <v>69</v>
      </c>
      <c r="D162" s="70" t="s">
        <v>69</v>
      </c>
      <c r="E162" s="70" t="s">
        <v>145</v>
      </c>
      <c r="F162" s="70">
        <v>6086</v>
      </c>
      <c r="G162" s="70" t="s">
        <v>214</v>
      </c>
      <c r="H162" s="71">
        <v>0</v>
      </c>
      <c r="I162" s="71">
        <v>0</v>
      </c>
      <c r="J162" s="71">
        <v>0</v>
      </c>
      <c r="K162" s="71">
        <v>0</v>
      </c>
      <c r="L162" s="71">
        <v>0</v>
      </c>
      <c r="M162" s="71">
        <v>0</v>
      </c>
      <c r="N162" s="71">
        <v>0</v>
      </c>
      <c r="O162" s="71">
        <v>0</v>
      </c>
      <c r="P162" s="71">
        <v>0</v>
      </c>
      <c r="Q162" s="71">
        <v>6</v>
      </c>
      <c r="R162" s="71">
        <v>0</v>
      </c>
      <c r="S162" s="71">
        <v>0</v>
      </c>
      <c r="T162" s="68">
        <f t="shared" si="19"/>
        <v>6</v>
      </c>
      <c r="U162" s="71">
        <v>6</v>
      </c>
      <c r="V162" s="33">
        <f t="shared" si="20"/>
        <v>1</v>
      </c>
      <c r="W162" s="69">
        <f t="shared" si="21"/>
        <v>110007.42</v>
      </c>
      <c r="X162" s="69">
        <f t="shared" si="22"/>
        <v>110007.42</v>
      </c>
      <c r="Y162" s="70" t="s">
        <v>188</v>
      </c>
      <c r="Z162" s="72">
        <v>18334.57</v>
      </c>
      <c r="AA162" s="70" t="s">
        <v>281</v>
      </c>
      <c r="AB162" s="68">
        <f t="shared" si="23"/>
        <v>0</v>
      </c>
      <c r="AC162" s="73">
        <v>43018</v>
      </c>
      <c r="AD162" s="73">
        <v>43049</v>
      </c>
      <c r="AE162" s="70" t="s">
        <v>57</v>
      </c>
      <c r="AF162" s="71">
        <v>0</v>
      </c>
      <c r="AG162" s="71">
        <v>0</v>
      </c>
      <c r="AH162" s="32">
        <f t="shared" si="24"/>
        <v>6</v>
      </c>
      <c r="AI162" s="71">
        <v>6</v>
      </c>
      <c r="AJ162" s="33">
        <f t="shared" si="25"/>
        <v>1</v>
      </c>
      <c r="AK162" s="69">
        <f t="shared" si="26"/>
        <v>110007.42</v>
      </c>
      <c r="AL162" s="69">
        <f t="shared" si="27"/>
        <v>110007.42</v>
      </c>
      <c r="AM162" s="70" t="s">
        <v>118</v>
      </c>
      <c r="AN162" s="70" t="s">
        <v>82</v>
      </c>
      <c r="AO162" s="70" t="s">
        <v>85</v>
      </c>
    </row>
    <row r="163" spans="1:41" x14ac:dyDescent="0.25">
      <c r="A163" s="70">
        <v>18619197</v>
      </c>
      <c r="B163" s="70">
        <v>2017</v>
      </c>
      <c r="C163" s="70" t="s">
        <v>69</v>
      </c>
      <c r="D163" s="70" t="s">
        <v>69</v>
      </c>
      <c r="E163" s="70" t="s">
        <v>145</v>
      </c>
      <c r="F163" s="70">
        <v>6086</v>
      </c>
      <c r="G163" s="70" t="s">
        <v>214</v>
      </c>
      <c r="H163" s="71">
        <v>0</v>
      </c>
      <c r="I163" s="71">
        <v>0</v>
      </c>
      <c r="J163" s="71">
        <v>0</v>
      </c>
      <c r="K163" s="71">
        <v>0</v>
      </c>
      <c r="L163" s="71">
        <v>0</v>
      </c>
      <c r="M163" s="71">
        <v>0</v>
      </c>
      <c r="N163" s="71">
        <v>0</v>
      </c>
      <c r="O163" s="71">
        <v>0</v>
      </c>
      <c r="P163" s="71">
        <v>0</v>
      </c>
      <c r="Q163" s="71">
        <v>0</v>
      </c>
      <c r="R163" s="71">
        <v>6</v>
      </c>
      <c r="S163" s="71">
        <v>0</v>
      </c>
      <c r="T163" s="68">
        <f t="shared" si="19"/>
        <v>6</v>
      </c>
      <c r="U163" s="71">
        <v>6</v>
      </c>
      <c r="V163" s="33">
        <f t="shared" si="20"/>
        <v>1</v>
      </c>
      <c r="W163" s="69">
        <f t="shared" si="21"/>
        <v>110007.42</v>
      </c>
      <c r="X163" s="69">
        <f t="shared" si="22"/>
        <v>110007.42</v>
      </c>
      <c r="Y163" s="70" t="s">
        <v>188</v>
      </c>
      <c r="Z163" s="72">
        <v>18334.57</v>
      </c>
      <c r="AA163" s="70" t="s">
        <v>173</v>
      </c>
      <c r="AB163" s="68">
        <f t="shared" si="23"/>
        <v>0</v>
      </c>
      <c r="AC163" s="73">
        <v>43056</v>
      </c>
      <c r="AD163" s="73">
        <v>43069</v>
      </c>
      <c r="AE163" s="70" t="s">
        <v>57</v>
      </c>
      <c r="AF163" s="71">
        <v>0</v>
      </c>
      <c r="AG163" s="71">
        <v>0</v>
      </c>
      <c r="AH163" s="32">
        <f t="shared" si="24"/>
        <v>6</v>
      </c>
      <c r="AI163" s="71">
        <v>6</v>
      </c>
      <c r="AJ163" s="33">
        <f t="shared" si="25"/>
        <v>1</v>
      </c>
      <c r="AK163" s="69">
        <f t="shared" si="26"/>
        <v>110007.42</v>
      </c>
      <c r="AL163" s="69">
        <f t="shared" si="27"/>
        <v>110007.42</v>
      </c>
      <c r="AM163" s="70" t="s">
        <v>118</v>
      </c>
      <c r="AN163" s="70" t="s">
        <v>82</v>
      </c>
      <c r="AO163" s="70" t="s">
        <v>85</v>
      </c>
    </row>
    <row r="164" spans="1:41" x14ac:dyDescent="0.25">
      <c r="A164" s="70">
        <v>18619784</v>
      </c>
      <c r="B164" s="70">
        <v>2017</v>
      </c>
      <c r="C164" s="70" t="s">
        <v>69</v>
      </c>
      <c r="D164" s="70" t="s">
        <v>69</v>
      </c>
      <c r="E164" s="70" t="s">
        <v>145</v>
      </c>
      <c r="F164" s="70">
        <v>6086</v>
      </c>
      <c r="G164" s="70" t="s">
        <v>214</v>
      </c>
      <c r="H164" s="71">
        <v>0</v>
      </c>
      <c r="I164" s="71">
        <v>0</v>
      </c>
      <c r="J164" s="71">
        <v>0</v>
      </c>
      <c r="K164" s="71">
        <v>0</v>
      </c>
      <c r="L164" s="71">
        <v>0</v>
      </c>
      <c r="M164" s="71">
        <v>0</v>
      </c>
      <c r="N164" s="71">
        <v>0</v>
      </c>
      <c r="O164" s="71">
        <v>0</v>
      </c>
      <c r="P164" s="71">
        <v>0</v>
      </c>
      <c r="Q164" s="71">
        <v>0</v>
      </c>
      <c r="R164" s="71">
        <v>0</v>
      </c>
      <c r="S164" s="71">
        <v>6</v>
      </c>
      <c r="T164" s="68">
        <f t="shared" si="19"/>
        <v>6</v>
      </c>
      <c r="U164" s="71">
        <v>6</v>
      </c>
      <c r="V164" s="33">
        <f t="shared" si="20"/>
        <v>1</v>
      </c>
      <c r="W164" s="69">
        <f t="shared" si="21"/>
        <v>110007.42</v>
      </c>
      <c r="X164" s="69">
        <f t="shared" si="22"/>
        <v>110007.42</v>
      </c>
      <c r="Y164" s="70" t="s">
        <v>188</v>
      </c>
      <c r="Z164" s="72">
        <v>18334.57</v>
      </c>
      <c r="AA164" s="70" t="s">
        <v>282</v>
      </c>
      <c r="AB164" s="68">
        <f t="shared" si="23"/>
        <v>0</v>
      </c>
      <c r="AC164" s="73">
        <v>43060</v>
      </c>
      <c r="AD164" s="73">
        <v>43079</v>
      </c>
      <c r="AE164" s="70" t="s">
        <v>57</v>
      </c>
      <c r="AF164" s="71">
        <v>0</v>
      </c>
      <c r="AG164" s="71">
        <v>0</v>
      </c>
      <c r="AH164" s="32">
        <f t="shared" si="24"/>
        <v>6</v>
      </c>
      <c r="AI164" s="71">
        <v>6</v>
      </c>
      <c r="AJ164" s="33">
        <f t="shared" si="25"/>
        <v>1</v>
      </c>
      <c r="AK164" s="69">
        <f t="shared" si="26"/>
        <v>110007.42</v>
      </c>
      <c r="AL164" s="69">
        <f t="shared" si="27"/>
        <v>110007.42</v>
      </c>
      <c r="AM164" s="70" t="s">
        <v>118</v>
      </c>
      <c r="AN164" s="70" t="s">
        <v>82</v>
      </c>
      <c r="AO164" s="70" t="s">
        <v>85</v>
      </c>
    </row>
    <row r="165" spans="1:41" x14ac:dyDescent="0.25">
      <c r="A165" s="70">
        <v>18662994</v>
      </c>
      <c r="B165" s="70">
        <v>2017</v>
      </c>
      <c r="C165" s="70" t="s">
        <v>69</v>
      </c>
      <c r="D165" s="70" t="s">
        <v>69</v>
      </c>
      <c r="E165" s="70" t="s">
        <v>145</v>
      </c>
      <c r="F165" s="70">
        <v>6086</v>
      </c>
      <c r="G165" s="70" t="s">
        <v>214</v>
      </c>
      <c r="H165" s="71">
        <v>0</v>
      </c>
      <c r="I165" s="71">
        <v>0</v>
      </c>
      <c r="J165" s="71">
        <v>0</v>
      </c>
      <c r="K165" s="71">
        <v>0</v>
      </c>
      <c r="L165" s="71">
        <v>0</v>
      </c>
      <c r="M165" s="71">
        <v>0</v>
      </c>
      <c r="N165" s="71">
        <v>0</v>
      </c>
      <c r="O165" s="71">
        <v>0</v>
      </c>
      <c r="P165" s="71">
        <v>0</v>
      </c>
      <c r="Q165" s="71">
        <v>0</v>
      </c>
      <c r="R165" s="71">
        <v>0</v>
      </c>
      <c r="S165" s="71">
        <v>9</v>
      </c>
      <c r="T165" s="68">
        <f t="shared" si="19"/>
        <v>9</v>
      </c>
      <c r="U165" s="71">
        <v>9</v>
      </c>
      <c r="V165" s="33">
        <f t="shared" si="20"/>
        <v>1</v>
      </c>
      <c r="W165" s="69">
        <f t="shared" si="21"/>
        <v>165011.13</v>
      </c>
      <c r="X165" s="69">
        <f t="shared" si="22"/>
        <v>165011.13</v>
      </c>
      <c r="Y165" s="70" t="s">
        <v>188</v>
      </c>
      <c r="Z165" s="72">
        <v>18334.57</v>
      </c>
      <c r="AA165" s="70" t="s">
        <v>280</v>
      </c>
      <c r="AB165" s="68">
        <f t="shared" si="23"/>
        <v>0</v>
      </c>
      <c r="AC165" s="73">
        <v>43083</v>
      </c>
      <c r="AD165" s="73">
        <v>43091</v>
      </c>
      <c r="AE165" s="70" t="s">
        <v>57</v>
      </c>
      <c r="AF165" s="71">
        <v>0</v>
      </c>
      <c r="AG165" s="71">
        <v>0</v>
      </c>
      <c r="AH165" s="32">
        <f t="shared" si="24"/>
        <v>9</v>
      </c>
      <c r="AI165" s="71">
        <v>9</v>
      </c>
      <c r="AJ165" s="33">
        <f t="shared" si="25"/>
        <v>1</v>
      </c>
      <c r="AK165" s="69">
        <f t="shared" si="26"/>
        <v>165011.13</v>
      </c>
      <c r="AL165" s="69">
        <f t="shared" si="27"/>
        <v>165011.13</v>
      </c>
      <c r="AM165" s="70" t="s">
        <v>118</v>
      </c>
      <c r="AN165" s="70" t="s">
        <v>82</v>
      </c>
      <c r="AO165" s="70" t="s">
        <v>85</v>
      </c>
    </row>
    <row r="166" spans="1:41" x14ac:dyDescent="0.25">
      <c r="A166" s="70" t="s">
        <v>153</v>
      </c>
      <c r="B166" s="70">
        <v>2017</v>
      </c>
      <c r="C166" s="70" t="s">
        <v>69</v>
      </c>
      <c r="D166" s="70" t="s">
        <v>69</v>
      </c>
      <c r="E166" s="70" t="s">
        <v>70</v>
      </c>
      <c r="F166" s="70">
        <v>5452</v>
      </c>
      <c r="G166" s="70" t="s">
        <v>221</v>
      </c>
      <c r="H166" s="71">
        <v>0</v>
      </c>
      <c r="I166" s="71">
        <v>0</v>
      </c>
      <c r="J166" s="71">
        <v>0</v>
      </c>
      <c r="K166" s="71">
        <v>151</v>
      </c>
      <c r="L166" s="71">
        <v>0</v>
      </c>
      <c r="M166" s="71">
        <v>129</v>
      </c>
      <c r="N166" s="71">
        <v>0</v>
      </c>
      <c r="O166" s="71">
        <v>0</v>
      </c>
      <c r="P166" s="71">
        <v>0</v>
      </c>
      <c r="Q166" s="71">
        <v>0</v>
      </c>
      <c r="R166" s="71">
        <v>81</v>
      </c>
      <c r="S166" s="71">
        <v>27</v>
      </c>
      <c r="T166" s="68">
        <f t="shared" si="19"/>
        <v>388</v>
      </c>
      <c r="U166" s="71">
        <v>504</v>
      </c>
      <c r="V166" s="33">
        <f t="shared" si="20"/>
        <v>0.76984126984126988</v>
      </c>
      <c r="W166" s="69">
        <f t="shared" si="21"/>
        <v>5274084</v>
      </c>
      <c r="X166" s="69">
        <f t="shared" si="22"/>
        <v>6850872</v>
      </c>
      <c r="Y166" s="70" t="s">
        <v>188</v>
      </c>
      <c r="Z166" s="72">
        <v>13593</v>
      </c>
      <c r="AA166" s="70" t="s">
        <v>154</v>
      </c>
      <c r="AB166" s="68">
        <f t="shared" si="23"/>
        <v>116</v>
      </c>
      <c r="AC166" s="73">
        <v>42812</v>
      </c>
      <c r="AD166" s="73">
        <v>43100</v>
      </c>
      <c r="AE166" s="70" t="s">
        <v>57</v>
      </c>
      <c r="AF166" s="71">
        <v>0</v>
      </c>
      <c r="AG166" s="71">
        <v>0</v>
      </c>
      <c r="AH166" s="32">
        <f t="shared" si="24"/>
        <v>388</v>
      </c>
      <c r="AI166" s="71">
        <v>504</v>
      </c>
      <c r="AJ166" s="33">
        <f t="shared" si="25"/>
        <v>0.76984126984126988</v>
      </c>
      <c r="AK166" s="69">
        <f t="shared" si="26"/>
        <v>5274084</v>
      </c>
      <c r="AL166" s="69">
        <f t="shared" si="27"/>
        <v>6850872</v>
      </c>
      <c r="AM166" s="70" t="s">
        <v>39</v>
      </c>
      <c r="AN166" s="70" t="s">
        <v>59</v>
      </c>
      <c r="AO166" s="70" t="s">
        <v>85</v>
      </c>
    </row>
    <row r="167" spans="1:41" x14ac:dyDescent="0.25">
      <c r="A167" s="70" t="s">
        <v>283</v>
      </c>
      <c r="B167" s="70">
        <v>2017</v>
      </c>
      <c r="C167" s="70" t="s">
        <v>69</v>
      </c>
      <c r="D167" s="70" t="s">
        <v>69</v>
      </c>
      <c r="E167" s="70" t="s">
        <v>146</v>
      </c>
      <c r="F167" s="70">
        <v>5653</v>
      </c>
      <c r="G167" s="70" t="s">
        <v>263</v>
      </c>
      <c r="H167" s="71">
        <v>0</v>
      </c>
      <c r="I167" s="71">
        <v>0</v>
      </c>
      <c r="J167" s="71">
        <v>0</v>
      </c>
      <c r="K167" s="71">
        <v>0</v>
      </c>
      <c r="L167" s="71">
        <v>0</v>
      </c>
      <c r="M167" s="71">
        <v>0</v>
      </c>
      <c r="N167" s="71">
        <v>0</v>
      </c>
      <c r="O167" s="71">
        <v>0</v>
      </c>
      <c r="P167" s="71">
        <v>0</v>
      </c>
      <c r="Q167" s="71">
        <v>0</v>
      </c>
      <c r="R167" s="71">
        <v>9</v>
      </c>
      <c r="S167" s="71">
        <v>0</v>
      </c>
      <c r="T167" s="68">
        <f t="shared" si="19"/>
        <v>9</v>
      </c>
      <c r="U167" s="71">
        <v>9</v>
      </c>
      <c r="V167" s="33">
        <f t="shared" si="20"/>
        <v>1</v>
      </c>
      <c r="W167" s="69">
        <f t="shared" si="21"/>
        <v>69292.800000000003</v>
      </c>
      <c r="X167" s="69">
        <f t="shared" si="22"/>
        <v>69292.800000000003</v>
      </c>
      <c r="Y167" s="70" t="s">
        <v>188</v>
      </c>
      <c r="Z167" s="72">
        <v>7699.2</v>
      </c>
      <c r="AA167" s="70" t="s">
        <v>284</v>
      </c>
      <c r="AB167" s="68">
        <f t="shared" si="23"/>
        <v>0</v>
      </c>
      <c r="AC167" s="73">
        <v>43046</v>
      </c>
      <c r="AD167" s="73">
        <v>43076</v>
      </c>
      <c r="AE167" s="70" t="s">
        <v>57</v>
      </c>
      <c r="AF167" s="71">
        <v>0</v>
      </c>
      <c r="AG167" s="71">
        <v>0</v>
      </c>
      <c r="AH167" s="32">
        <f t="shared" si="24"/>
        <v>9</v>
      </c>
      <c r="AI167" s="71">
        <v>9</v>
      </c>
      <c r="AJ167" s="33">
        <f t="shared" si="25"/>
        <v>1</v>
      </c>
      <c r="AK167" s="69">
        <f t="shared" si="26"/>
        <v>69292.800000000003</v>
      </c>
      <c r="AL167" s="69">
        <f t="shared" si="27"/>
        <v>69292.800000000003</v>
      </c>
      <c r="AM167" s="70" t="s">
        <v>72</v>
      </c>
      <c r="AN167" s="70" t="s">
        <v>82</v>
      </c>
      <c r="AO167" s="70" t="s">
        <v>85</v>
      </c>
    </row>
    <row r="168" spans="1:41" x14ac:dyDescent="0.25">
      <c r="A168" s="70" t="s">
        <v>174</v>
      </c>
      <c r="B168" s="70">
        <v>2017</v>
      </c>
      <c r="C168" s="70" t="s">
        <v>69</v>
      </c>
      <c r="D168" s="70" t="s">
        <v>69</v>
      </c>
      <c r="E168" s="70" t="s">
        <v>125</v>
      </c>
      <c r="F168" s="70">
        <v>5624</v>
      </c>
      <c r="G168" s="70" t="s">
        <v>191</v>
      </c>
      <c r="H168" s="71">
        <v>0</v>
      </c>
      <c r="I168" s="71">
        <v>0</v>
      </c>
      <c r="J168" s="71">
        <v>0</v>
      </c>
      <c r="K168" s="71">
        <v>0</v>
      </c>
      <c r="L168" s="71">
        <v>0</v>
      </c>
      <c r="M168" s="71">
        <v>0</v>
      </c>
      <c r="N168" s="71">
        <v>0</v>
      </c>
      <c r="O168" s="71">
        <v>0</v>
      </c>
      <c r="P168" s="71">
        <v>0</v>
      </c>
      <c r="Q168" s="71">
        <v>2</v>
      </c>
      <c r="R168" s="71">
        <v>0</v>
      </c>
      <c r="S168" s="71">
        <v>0</v>
      </c>
      <c r="T168" s="68">
        <f t="shared" si="19"/>
        <v>2</v>
      </c>
      <c r="U168" s="71">
        <v>2</v>
      </c>
      <c r="V168" s="33">
        <f t="shared" si="20"/>
        <v>1</v>
      </c>
      <c r="W168" s="69">
        <f t="shared" si="21"/>
        <v>14686</v>
      </c>
      <c r="X168" s="69">
        <f t="shared" si="22"/>
        <v>14686</v>
      </c>
      <c r="Y168" s="70" t="s">
        <v>188</v>
      </c>
      <c r="Z168" s="72">
        <v>7343</v>
      </c>
      <c r="AA168" s="70" t="s">
        <v>175</v>
      </c>
      <c r="AB168" s="68">
        <f t="shared" si="23"/>
        <v>0</v>
      </c>
      <c r="AC168" s="73">
        <v>43033</v>
      </c>
      <c r="AD168" s="73">
        <v>43064</v>
      </c>
      <c r="AE168" s="70" t="s">
        <v>57</v>
      </c>
      <c r="AF168" s="71">
        <v>0</v>
      </c>
      <c r="AG168" s="71">
        <v>0</v>
      </c>
      <c r="AH168" s="32">
        <f t="shared" si="24"/>
        <v>2</v>
      </c>
      <c r="AI168" s="71">
        <v>2</v>
      </c>
      <c r="AJ168" s="33">
        <f t="shared" si="25"/>
        <v>1</v>
      </c>
      <c r="AK168" s="69">
        <f t="shared" si="26"/>
        <v>14686</v>
      </c>
      <c r="AL168" s="69">
        <f t="shared" si="27"/>
        <v>14686</v>
      </c>
      <c r="AM168" s="70" t="s">
        <v>72</v>
      </c>
      <c r="AN168" s="70" t="s">
        <v>82</v>
      </c>
      <c r="AO168" s="70" t="s">
        <v>85</v>
      </c>
    </row>
    <row r="169" spans="1:41" x14ac:dyDescent="0.25">
      <c r="A169" s="70" t="s">
        <v>182</v>
      </c>
      <c r="B169" s="70">
        <v>2017</v>
      </c>
      <c r="C169" s="70" t="s">
        <v>69</v>
      </c>
      <c r="D169" s="70" t="s">
        <v>69</v>
      </c>
      <c r="E169" s="70" t="s">
        <v>125</v>
      </c>
      <c r="F169" s="70">
        <v>5624</v>
      </c>
      <c r="G169" s="70" t="s">
        <v>191</v>
      </c>
      <c r="H169" s="71">
        <v>0</v>
      </c>
      <c r="I169" s="71">
        <v>0</v>
      </c>
      <c r="J169" s="71">
        <v>0</v>
      </c>
      <c r="K169" s="71">
        <v>0</v>
      </c>
      <c r="L169" s="71">
        <v>0</v>
      </c>
      <c r="M169" s="71">
        <v>0</v>
      </c>
      <c r="N169" s="71">
        <v>0</v>
      </c>
      <c r="O169" s="71">
        <v>0</v>
      </c>
      <c r="P169" s="71">
        <v>0</v>
      </c>
      <c r="Q169" s="71">
        <v>2</v>
      </c>
      <c r="R169" s="71">
        <v>0</v>
      </c>
      <c r="S169" s="71">
        <v>0</v>
      </c>
      <c r="T169" s="68">
        <f t="shared" si="19"/>
        <v>2</v>
      </c>
      <c r="U169" s="71">
        <v>2</v>
      </c>
      <c r="V169" s="33">
        <f t="shared" si="20"/>
        <v>1</v>
      </c>
      <c r="W169" s="69">
        <f t="shared" si="21"/>
        <v>14686</v>
      </c>
      <c r="X169" s="69">
        <f t="shared" si="22"/>
        <v>14686</v>
      </c>
      <c r="Y169" s="70" t="s">
        <v>188</v>
      </c>
      <c r="Z169" s="72">
        <v>7343</v>
      </c>
      <c r="AA169" s="70" t="s">
        <v>285</v>
      </c>
      <c r="AB169" s="68">
        <f t="shared" si="23"/>
        <v>0</v>
      </c>
      <c r="AC169" s="73">
        <v>43021</v>
      </c>
      <c r="AD169" s="73">
        <v>43052</v>
      </c>
      <c r="AE169" s="70" t="s">
        <v>57</v>
      </c>
      <c r="AF169" s="71">
        <v>0</v>
      </c>
      <c r="AG169" s="71">
        <v>0</v>
      </c>
      <c r="AH169" s="32">
        <f t="shared" si="24"/>
        <v>2</v>
      </c>
      <c r="AI169" s="71">
        <v>2</v>
      </c>
      <c r="AJ169" s="33">
        <f t="shared" si="25"/>
        <v>1</v>
      </c>
      <c r="AK169" s="69">
        <f t="shared" si="26"/>
        <v>14686</v>
      </c>
      <c r="AL169" s="69">
        <f t="shared" si="27"/>
        <v>14686</v>
      </c>
      <c r="AM169" s="70" t="s">
        <v>72</v>
      </c>
      <c r="AN169" s="70" t="s">
        <v>82</v>
      </c>
      <c r="AO169" s="70" t="s">
        <v>85</v>
      </c>
    </row>
    <row r="170" spans="1:41" x14ac:dyDescent="0.25">
      <c r="A170" s="70" t="s">
        <v>174</v>
      </c>
      <c r="B170" s="70">
        <v>2017</v>
      </c>
      <c r="C170" s="70" t="s">
        <v>69</v>
      </c>
      <c r="D170" s="70" t="s">
        <v>69</v>
      </c>
      <c r="E170" s="70" t="s">
        <v>125</v>
      </c>
      <c r="F170" s="70">
        <v>5653</v>
      </c>
      <c r="G170" s="70" t="s">
        <v>263</v>
      </c>
      <c r="H170" s="71">
        <v>0</v>
      </c>
      <c r="I170" s="71">
        <v>0</v>
      </c>
      <c r="J170" s="71">
        <v>0</v>
      </c>
      <c r="K170" s="71">
        <v>0</v>
      </c>
      <c r="L170" s="71">
        <v>0</v>
      </c>
      <c r="M170" s="71">
        <v>0</v>
      </c>
      <c r="N170" s="71">
        <v>0</v>
      </c>
      <c r="O170" s="71">
        <v>0</v>
      </c>
      <c r="P170" s="71">
        <v>0</v>
      </c>
      <c r="Q170" s="71">
        <v>25</v>
      </c>
      <c r="R170" s="71">
        <v>0</v>
      </c>
      <c r="S170" s="71">
        <v>0</v>
      </c>
      <c r="T170" s="68">
        <f t="shared" si="19"/>
        <v>25</v>
      </c>
      <c r="U170" s="71">
        <v>25</v>
      </c>
      <c r="V170" s="33">
        <f t="shared" si="20"/>
        <v>1</v>
      </c>
      <c r="W170" s="69">
        <f t="shared" si="21"/>
        <v>192480</v>
      </c>
      <c r="X170" s="69">
        <f t="shared" si="22"/>
        <v>192480</v>
      </c>
      <c r="Y170" s="70" t="s">
        <v>188</v>
      </c>
      <c r="Z170" s="72">
        <v>7699.2</v>
      </c>
      <c r="AA170" s="70" t="s">
        <v>286</v>
      </c>
      <c r="AB170" s="68">
        <f t="shared" si="23"/>
        <v>0</v>
      </c>
      <c r="AC170" s="73">
        <v>43027</v>
      </c>
      <c r="AD170" s="73">
        <v>43058</v>
      </c>
      <c r="AE170" s="70" t="s">
        <v>57</v>
      </c>
      <c r="AF170" s="71">
        <v>0</v>
      </c>
      <c r="AG170" s="71">
        <v>0</v>
      </c>
      <c r="AH170" s="32">
        <f t="shared" si="24"/>
        <v>25</v>
      </c>
      <c r="AI170" s="71">
        <v>25</v>
      </c>
      <c r="AJ170" s="33">
        <f t="shared" si="25"/>
        <v>1</v>
      </c>
      <c r="AK170" s="69">
        <f t="shared" si="26"/>
        <v>192480</v>
      </c>
      <c r="AL170" s="69">
        <f t="shared" si="27"/>
        <v>192480</v>
      </c>
      <c r="AM170" s="70" t="s">
        <v>72</v>
      </c>
      <c r="AN170" s="70" t="s">
        <v>82</v>
      </c>
      <c r="AO170" s="70" t="s">
        <v>85</v>
      </c>
    </row>
    <row r="171" spans="1:41" x14ac:dyDescent="0.25">
      <c r="A171" s="70" t="s">
        <v>126</v>
      </c>
      <c r="B171" s="70">
        <v>2017</v>
      </c>
      <c r="C171" s="70" t="s">
        <v>71</v>
      </c>
      <c r="D171" s="70" t="s">
        <v>71</v>
      </c>
      <c r="E171" s="70" t="s">
        <v>83</v>
      </c>
      <c r="F171" s="70">
        <v>5613</v>
      </c>
      <c r="G171" s="70" t="s">
        <v>194</v>
      </c>
      <c r="H171" s="71">
        <v>0</v>
      </c>
      <c r="I171" s="71">
        <v>0</v>
      </c>
      <c r="J171" s="71">
        <v>0</v>
      </c>
      <c r="K171" s="71">
        <v>0</v>
      </c>
      <c r="L171" s="71">
        <v>125</v>
      </c>
      <c r="M171" s="71">
        <v>0</v>
      </c>
      <c r="N171" s="71">
        <v>0</v>
      </c>
      <c r="O171" s="71">
        <v>0</v>
      </c>
      <c r="P171" s="71">
        <v>0</v>
      </c>
      <c r="Q171" s="71">
        <v>0</v>
      </c>
      <c r="R171" s="71">
        <v>0</v>
      </c>
      <c r="S171" s="71">
        <v>0</v>
      </c>
      <c r="T171" s="68">
        <f t="shared" si="19"/>
        <v>125</v>
      </c>
      <c r="U171" s="71">
        <v>0</v>
      </c>
      <c r="V171" s="33">
        <f t="shared" si="20"/>
        <v>0</v>
      </c>
      <c r="W171" s="69">
        <f t="shared" si="21"/>
        <v>456950</v>
      </c>
      <c r="X171" s="69">
        <f t="shared" si="22"/>
        <v>0</v>
      </c>
      <c r="Y171" s="70" t="s">
        <v>188</v>
      </c>
      <c r="Z171" s="72">
        <v>3655.6</v>
      </c>
      <c r="AA171" s="70" t="s">
        <v>127</v>
      </c>
      <c r="AB171" s="68">
        <f t="shared" si="23"/>
        <v>-125</v>
      </c>
      <c r="AC171" s="73">
        <v>42685</v>
      </c>
      <c r="AD171" s="73">
        <v>43018</v>
      </c>
      <c r="AE171" s="70" t="s">
        <v>57</v>
      </c>
      <c r="AF171" s="71">
        <v>0</v>
      </c>
      <c r="AG171" s="71">
        <v>0</v>
      </c>
      <c r="AH171" s="32">
        <f t="shared" si="24"/>
        <v>125</v>
      </c>
      <c r="AI171" s="71">
        <v>0</v>
      </c>
      <c r="AJ171" s="33">
        <f t="shared" si="25"/>
        <v>0</v>
      </c>
      <c r="AK171" s="69">
        <f t="shared" si="26"/>
        <v>456950</v>
      </c>
      <c r="AL171" s="69">
        <f t="shared" si="27"/>
        <v>0</v>
      </c>
      <c r="AM171" s="70" t="s">
        <v>72</v>
      </c>
      <c r="AN171" s="70" t="s">
        <v>59</v>
      </c>
      <c r="AO171" s="70" t="s">
        <v>85</v>
      </c>
    </row>
    <row r="172" spans="1:41" x14ac:dyDescent="0.25">
      <c r="A172" s="70" t="s">
        <v>178</v>
      </c>
      <c r="B172" s="70">
        <v>2017</v>
      </c>
      <c r="C172" s="70" t="s">
        <v>71</v>
      </c>
      <c r="D172" s="70" t="s">
        <v>71</v>
      </c>
      <c r="E172" s="70" t="s">
        <v>83</v>
      </c>
      <c r="F172" s="70">
        <v>5613</v>
      </c>
      <c r="G172" s="70" t="s">
        <v>194</v>
      </c>
      <c r="H172" s="71">
        <v>0</v>
      </c>
      <c r="I172" s="71">
        <v>0</v>
      </c>
      <c r="J172" s="71">
        <v>0</v>
      </c>
      <c r="K172" s="71">
        <v>0</v>
      </c>
      <c r="L172" s="71">
        <v>0</v>
      </c>
      <c r="M172" s="71">
        <v>0</v>
      </c>
      <c r="N172" s="71">
        <v>0</v>
      </c>
      <c r="O172" s="71">
        <v>0</v>
      </c>
      <c r="P172" s="71">
        <v>456</v>
      </c>
      <c r="Q172" s="71">
        <v>0</v>
      </c>
      <c r="R172" s="71">
        <v>0</v>
      </c>
      <c r="S172" s="71">
        <v>0</v>
      </c>
      <c r="T172" s="68">
        <f t="shared" si="19"/>
        <v>456</v>
      </c>
      <c r="U172" s="71">
        <v>0</v>
      </c>
      <c r="V172" s="33">
        <f t="shared" si="20"/>
        <v>0</v>
      </c>
      <c r="W172" s="69">
        <f t="shared" si="21"/>
        <v>1666953.5999999999</v>
      </c>
      <c r="X172" s="69">
        <f t="shared" si="22"/>
        <v>0</v>
      </c>
      <c r="Y172" s="70" t="s">
        <v>188</v>
      </c>
      <c r="Z172" s="72">
        <v>3655.6</v>
      </c>
      <c r="AA172" s="70" t="s">
        <v>178</v>
      </c>
      <c r="AB172" s="68">
        <f t="shared" si="23"/>
        <v>-456</v>
      </c>
      <c r="AC172" s="73">
        <v>42986</v>
      </c>
      <c r="AD172" s="73">
        <v>43100</v>
      </c>
      <c r="AE172" s="70" t="s">
        <v>57</v>
      </c>
      <c r="AF172" s="71">
        <v>0</v>
      </c>
      <c r="AG172" s="71">
        <v>0</v>
      </c>
      <c r="AH172" s="32">
        <f t="shared" si="24"/>
        <v>456</v>
      </c>
      <c r="AI172" s="71">
        <v>0</v>
      </c>
      <c r="AJ172" s="33">
        <f t="shared" si="25"/>
        <v>0</v>
      </c>
      <c r="AK172" s="69">
        <f t="shared" si="26"/>
        <v>1666953.5999999999</v>
      </c>
      <c r="AL172" s="69">
        <f t="shared" si="27"/>
        <v>0</v>
      </c>
      <c r="AM172" s="70" t="s">
        <v>72</v>
      </c>
      <c r="AN172" s="70" t="s">
        <v>59</v>
      </c>
      <c r="AO172" s="70" t="s">
        <v>85</v>
      </c>
    </row>
    <row r="173" spans="1:41" x14ac:dyDescent="0.25">
      <c r="A173" s="70" t="s">
        <v>126</v>
      </c>
      <c r="B173" s="70">
        <v>2017</v>
      </c>
      <c r="C173" s="70" t="s">
        <v>71</v>
      </c>
      <c r="D173" s="70" t="s">
        <v>71</v>
      </c>
      <c r="E173" s="70" t="s">
        <v>83</v>
      </c>
      <c r="F173" s="70">
        <v>5627</v>
      </c>
      <c r="G173" s="70" t="s">
        <v>187</v>
      </c>
      <c r="H173" s="71">
        <v>0</v>
      </c>
      <c r="I173" s="71">
        <v>0</v>
      </c>
      <c r="J173" s="71">
        <v>0</v>
      </c>
      <c r="K173" s="71">
        <v>0</v>
      </c>
      <c r="L173" s="71">
        <v>14</v>
      </c>
      <c r="M173" s="71">
        <v>0</v>
      </c>
      <c r="N173" s="71">
        <v>0</v>
      </c>
      <c r="O173" s="71">
        <v>0</v>
      </c>
      <c r="P173" s="71">
        <v>0</v>
      </c>
      <c r="Q173" s="71">
        <v>0</v>
      </c>
      <c r="R173" s="71">
        <v>0</v>
      </c>
      <c r="S173" s="71">
        <v>0</v>
      </c>
      <c r="T173" s="68">
        <f t="shared" si="19"/>
        <v>14</v>
      </c>
      <c r="U173" s="71">
        <v>0</v>
      </c>
      <c r="V173" s="33">
        <f t="shared" si="20"/>
        <v>0</v>
      </c>
      <c r="W173" s="69">
        <f t="shared" si="21"/>
        <v>36736</v>
      </c>
      <c r="X173" s="69">
        <f t="shared" si="22"/>
        <v>0</v>
      </c>
      <c r="Y173" s="70" t="s">
        <v>188</v>
      </c>
      <c r="Z173" s="72">
        <v>2624</v>
      </c>
      <c r="AA173" s="70" t="s">
        <v>127</v>
      </c>
      <c r="AB173" s="68">
        <f t="shared" si="23"/>
        <v>-14</v>
      </c>
      <c r="AC173" s="73">
        <v>42685</v>
      </c>
      <c r="AD173" s="73">
        <v>43018</v>
      </c>
      <c r="AE173" s="70" t="s">
        <v>57</v>
      </c>
      <c r="AF173" s="71">
        <v>0</v>
      </c>
      <c r="AG173" s="71">
        <v>0</v>
      </c>
      <c r="AH173" s="32">
        <f t="shared" si="24"/>
        <v>14</v>
      </c>
      <c r="AI173" s="71">
        <v>0</v>
      </c>
      <c r="AJ173" s="33">
        <f t="shared" si="25"/>
        <v>0</v>
      </c>
      <c r="AK173" s="69">
        <f t="shared" si="26"/>
        <v>36736</v>
      </c>
      <c r="AL173" s="69">
        <f t="shared" si="27"/>
        <v>0</v>
      </c>
      <c r="AM173" s="70" t="s">
        <v>72</v>
      </c>
      <c r="AN173" s="70" t="s">
        <v>59</v>
      </c>
      <c r="AO173" s="70" t="s">
        <v>85</v>
      </c>
    </row>
    <row r="174" spans="1:41" x14ac:dyDescent="0.25">
      <c r="A174" s="70" t="s">
        <v>155</v>
      </c>
      <c r="B174" s="70">
        <v>2017</v>
      </c>
      <c r="C174" s="70" t="s">
        <v>71</v>
      </c>
      <c r="D174" s="70" t="s">
        <v>71</v>
      </c>
      <c r="E174" s="70" t="s">
        <v>83</v>
      </c>
      <c r="F174" s="70">
        <v>5627</v>
      </c>
      <c r="G174" s="70" t="s">
        <v>187</v>
      </c>
      <c r="H174" s="71">
        <v>0</v>
      </c>
      <c r="I174" s="71">
        <v>0</v>
      </c>
      <c r="J174" s="71">
        <v>0</v>
      </c>
      <c r="K174" s="71">
        <v>0</v>
      </c>
      <c r="L174" s="71">
        <v>0</v>
      </c>
      <c r="M174" s="71">
        <v>0</v>
      </c>
      <c r="N174" s="71">
        <v>0</v>
      </c>
      <c r="O174" s="71">
        <v>0</v>
      </c>
      <c r="P174" s="71">
        <v>100</v>
      </c>
      <c r="Q174" s="71">
        <v>0</v>
      </c>
      <c r="R174" s="71">
        <v>0</v>
      </c>
      <c r="S174" s="71">
        <v>0</v>
      </c>
      <c r="T174" s="68">
        <f t="shared" si="19"/>
        <v>100</v>
      </c>
      <c r="U174" s="71">
        <v>0</v>
      </c>
      <c r="V174" s="33">
        <f t="shared" si="20"/>
        <v>0</v>
      </c>
      <c r="W174" s="69">
        <f t="shared" si="21"/>
        <v>262400</v>
      </c>
      <c r="X174" s="69">
        <f t="shared" si="22"/>
        <v>0</v>
      </c>
      <c r="Y174" s="70" t="s">
        <v>188</v>
      </c>
      <c r="Z174" s="72">
        <v>2624</v>
      </c>
      <c r="AA174" s="70" t="s">
        <v>155</v>
      </c>
      <c r="AB174" s="68">
        <f t="shared" si="23"/>
        <v>-100</v>
      </c>
      <c r="AC174" s="73">
        <v>42971</v>
      </c>
      <c r="AD174" s="73">
        <v>43100</v>
      </c>
      <c r="AE174" s="70" t="s">
        <v>57</v>
      </c>
      <c r="AF174" s="71">
        <v>0</v>
      </c>
      <c r="AG174" s="71">
        <v>0</v>
      </c>
      <c r="AH174" s="32">
        <f t="shared" si="24"/>
        <v>100</v>
      </c>
      <c r="AI174" s="71">
        <v>0</v>
      </c>
      <c r="AJ174" s="33">
        <f t="shared" si="25"/>
        <v>0</v>
      </c>
      <c r="AK174" s="69">
        <f t="shared" si="26"/>
        <v>262400</v>
      </c>
      <c r="AL174" s="69">
        <f t="shared" si="27"/>
        <v>0</v>
      </c>
      <c r="AM174" s="70" t="s">
        <v>72</v>
      </c>
      <c r="AN174" s="70" t="s">
        <v>59</v>
      </c>
      <c r="AO174" s="70" t="s">
        <v>85</v>
      </c>
    </row>
    <row r="175" spans="1:41" x14ac:dyDescent="0.25">
      <c r="A175" s="70" t="s">
        <v>183</v>
      </c>
      <c r="B175" s="70">
        <v>2017</v>
      </c>
      <c r="C175" s="70" t="s">
        <v>71</v>
      </c>
      <c r="D175" s="70" t="s">
        <v>71</v>
      </c>
      <c r="E175" s="70" t="s">
        <v>83</v>
      </c>
      <c r="F175" s="70">
        <v>5628</v>
      </c>
      <c r="G175" s="70" t="s">
        <v>219</v>
      </c>
      <c r="H175" s="71">
        <v>0</v>
      </c>
      <c r="I175" s="71">
        <v>0</v>
      </c>
      <c r="J175" s="71">
        <v>0</v>
      </c>
      <c r="K175" s="71">
        <v>0</v>
      </c>
      <c r="L175" s="71">
        <v>7</v>
      </c>
      <c r="M175" s="71">
        <v>0</v>
      </c>
      <c r="N175" s="71">
        <v>0</v>
      </c>
      <c r="O175" s="71">
        <v>0</v>
      </c>
      <c r="P175" s="71">
        <v>0</v>
      </c>
      <c r="Q175" s="71">
        <v>0</v>
      </c>
      <c r="R175" s="71">
        <v>0</v>
      </c>
      <c r="S175" s="71">
        <v>0</v>
      </c>
      <c r="T175" s="68">
        <f t="shared" si="19"/>
        <v>7</v>
      </c>
      <c r="U175" s="71">
        <v>0</v>
      </c>
      <c r="V175" s="33">
        <f t="shared" si="20"/>
        <v>0</v>
      </c>
      <c r="W175" s="69">
        <f t="shared" si="21"/>
        <v>30240</v>
      </c>
      <c r="X175" s="69">
        <f t="shared" si="22"/>
        <v>0</v>
      </c>
      <c r="Y175" s="70" t="s">
        <v>188</v>
      </c>
      <c r="Z175" s="72">
        <v>4320</v>
      </c>
      <c r="AA175" s="70" t="s">
        <v>183</v>
      </c>
      <c r="AB175" s="68">
        <f t="shared" si="23"/>
        <v>-7</v>
      </c>
      <c r="AC175" s="73">
        <v>42783</v>
      </c>
      <c r="AD175" s="73">
        <v>43074</v>
      </c>
      <c r="AE175" s="70" t="s">
        <v>57</v>
      </c>
      <c r="AF175" s="71">
        <v>0</v>
      </c>
      <c r="AG175" s="71">
        <v>0</v>
      </c>
      <c r="AH175" s="32">
        <f t="shared" si="24"/>
        <v>7</v>
      </c>
      <c r="AI175" s="71">
        <v>0</v>
      </c>
      <c r="AJ175" s="33">
        <f t="shared" si="25"/>
        <v>0</v>
      </c>
      <c r="AK175" s="69">
        <f t="shared" si="26"/>
        <v>30240</v>
      </c>
      <c r="AL175" s="69">
        <f t="shared" si="27"/>
        <v>0</v>
      </c>
      <c r="AM175" s="70" t="s">
        <v>72</v>
      </c>
      <c r="AN175" s="70" t="s">
        <v>59</v>
      </c>
      <c r="AO175" s="70" t="s">
        <v>85</v>
      </c>
    </row>
    <row r="176" spans="1:41" x14ac:dyDescent="0.25">
      <c r="A176" s="70" t="s">
        <v>155</v>
      </c>
      <c r="B176" s="70">
        <v>2017</v>
      </c>
      <c r="C176" s="70" t="s">
        <v>71</v>
      </c>
      <c r="D176" s="70" t="s">
        <v>71</v>
      </c>
      <c r="E176" s="70" t="s">
        <v>83</v>
      </c>
      <c r="F176" s="70">
        <v>5628</v>
      </c>
      <c r="G176" s="70" t="s">
        <v>219</v>
      </c>
      <c r="H176" s="71">
        <v>0</v>
      </c>
      <c r="I176" s="71">
        <v>0</v>
      </c>
      <c r="J176" s="71">
        <v>0</v>
      </c>
      <c r="K176" s="71">
        <v>0</v>
      </c>
      <c r="L176" s="71">
        <v>0</v>
      </c>
      <c r="M176" s="71">
        <v>0</v>
      </c>
      <c r="N176" s="71">
        <v>0</v>
      </c>
      <c r="O176" s="71">
        <v>0</v>
      </c>
      <c r="P176" s="71">
        <v>100</v>
      </c>
      <c r="Q176" s="71">
        <v>0</v>
      </c>
      <c r="R176" s="71">
        <v>0</v>
      </c>
      <c r="S176" s="71">
        <v>0</v>
      </c>
      <c r="T176" s="68">
        <f t="shared" si="19"/>
        <v>100</v>
      </c>
      <c r="U176" s="71">
        <v>0</v>
      </c>
      <c r="V176" s="33">
        <f t="shared" si="20"/>
        <v>0</v>
      </c>
      <c r="W176" s="69">
        <f t="shared" si="21"/>
        <v>432000</v>
      </c>
      <c r="X176" s="69">
        <f t="shared" si="22"/>
        <v>0</v>
      </c>
      <c r="Y176" s="70" t="s">
        <v>188</v>
      </c>
      <c r="Z176" s="72">
        <v>4320</v>
      </c>
      <c r="AA176" s="70" t="s">
        <v>155</v>
      </c>
      <c r="AB176" s="68">
        <f t="shared" si="23"/>
        <v>-100</v>
      </c>
      <c r="AC176" s="73">
        <v>42971</v>
      </c>
      <c r="AD176" s="73">
        <v>43100</v>
      </c>
      <c r="AE176" s="70" t="s">
        <v>57</v>
      </c>
      <c r="AF176" s="71">
        <v>0</v>
      </c>
      <c r="AG176" s="71">
        <v>0</v>
      </c>
      <c r="AH176" s="32">
        <f t="shared" si="24"/>
        <v>100</v>
      </c>
      <c r="AI176" s="71">
        <v>0</v>
      </c>
      <c r="AJ176" s="33">
        <f t="shared" si="25"/>
        <v>0</v>
      </c>
      <c r="AK176" s="69">
        <f t="shared" si="26"/>
        <v>432000</v>
      </c>
      <c r="AL176" s="69">
        <f t="shared" si="27"/>
        <v>0</v>
      </c>
      <c r="AM176" s="70" t="s">
        <v>72</v>
      </c>
      <c r="AN176" s="70" t="s">
        <v>59</v>
      </c>
      <c r="AO176" s="70" t="s">
        <v>85</v>
      </c>
    </row>
    <row r="177" spans="1:41" x14ac:dyDescent="0.25">
      <c r="A177" s="70" t="s">
        <v>126</v>
      </c>
      <c r="B177" s="70">
        <v>2017</v>
      </c>
      <c r="C177" s="70" t="s">
        <v>71</v>
      </c>
      <c r="D177" s="70" t="s">
        <v>71</v>
      </c>
      <c r="E177" s="70" t="s">
        <v>83</v>
      </c>
      <c r="F177" s="70">
        <v>5632</v>
      </c>
      <c r="G177" s="70" t="s">
        <v>212</v>
      </c>
      <c r="H177" s="71">
        <v>0</v>
      </c>
      <c r="I177" s="71">
        <v>0</v>
      </c>
      <c r="J177" s="71">
        <v>0</v>
      </c>
      <c r="K177" s="71">
        <v>0</v>
      </c>
      <c r="L177" s="71">
        <v>45</v>
      </c>
      <c r="M177" s="71">
        <v>0</v>
      </c>
      <c r="N177" s="71">
        <v>0</v>
      </c>
      <c r="O177" s="71">
        <v>0</v>
      </c>
      <c r="P177" s="71">
        <v>0</v>
      </c>
      <c r="Q177" s="71">
        <v>0</v>
      </c>
      <c r="R177" s="71">
        <v>0</v>
      </c>
      <c r="S177" s="71">
        <v>0</v>
      </c>
      <c r="T177" s="68">
        <f t="shared" si="19"/>
        <v>45</v>
      </c>
      <c r="U177" s="71">
        <v>0</v>
      </c>
      <c r="V177" s="33">
        <f t="shared" si="20"/>
        <v>0</v>
      </c>
      <c r="W177" s="69">
        <f t="shared" si="21"/>
        <v>199260</v>
      </c>
      <c r="X177" s="69">
        <f t="shared" si="22"/>
        <v>0</v>
      </c>
      <c r="Y177" s="70" t="s">
        <v>188</v>
      </c>
      <c r="Z177" s="72">
        <v>4428</v>
      </c>
      <c r="AA177" s="70" t="s">
        <v>127</v>
      </c>
      <c r="AB177" s="68">
        <f t="shared" si="23"/>
        <v>-45</v>
      </c>
      <c r="AC177" s="73">
        <v>42685</v>
      </c>
      <c r="AD177" s="73">
        <v>43018</v>
      </c>
      <c r="AE177" s="70" t="s">
        <v>57</v>
      </c>
      <c r="AF177" s="71">
        <v>0</v>
      </c>
      <c r="AG177" s="71">
        <v>0</v>
      </c>
      <c r="AH177" s="32">
        <f t="shared" si="24"/>
        <v>45</v>
      </c>
      <c r="AI177" s="71">
        <v>0</v>
      </c>
      <c r="AJ177" s="33">
        <f t="shared" si="25"/>
        <v>0</v>
      </c>
      <c r="AK177" s="69">
        <f t="shared" si="26"/>
        <v>199260</v>
      </c>
      <c r="AL177" s="69">
        <f t="shared" si="27"/>
        <v>0</v>
      </c>
      <c r="AM177" s="70" t="s">
        <v>72</v>
      </c>
      <c r="AN177" s="70" t="s">
        <v>59</v>
      </c>
      <c r="AO177" s="70" t="s">
        <v>85</v>
      </c>
    </row>
    <row r="178" spans="1:41" x14ac:dyDescent="0.25">
      <c r="A178" s="70" t="s">
        <v>155</v>
      </c>
      <c r="B178" s="70">
        <v>2017</v>
      </c>
      <c r="C178" s="70" t="s">
        <v>71</v>
      </c>
      <c r="D178" s="70" t="s">
        <v>71</v>
      </c>
      <c r="E178" s="70" t="s">
        <v>83</v>
      </c>
      <c r="F178" s="70">
        <v>5632</v>
      </c>
      <c r="G178" s="70" t="s">
        <v>212</v>
      </c>
      <c r="H178" s="71">
        <v>0</v>
      </c>
      <c r="I178" s="71">
        <v>0</v>
      </c>
      <c r="J178" s="71">
        <v>0</v>
      </c>
      <c r="K178" s="71">
        <v>0</v>
      </c>
      <c r="L178" s="71">
        <v>0</v>
      </c>
      <c r="M178" s="71">
        <v>0</v>
      </c>
      <c r="N178" s="71">
        <v>0</v>
      </c>
      <c r="O178" s="71">
        <v>0</v>
      </c>
      <c r="P178" s="71">
        <v>10</v>
      </c>
      <c r="Q178" s="71">
        <v>0</v>
      </c>
      <c r="R178" s="71">
        <v>0</v>
      </c>
      <c r="S178" s="71">
        <v>0</v>
      </c>
      <c r="T178" s="68">
        <f t="shared" si="19"/>
        <v>10</v>
      </c>
      <c r="U178" s="71">
        <v>0</v>
      </c>
      <c r="V178" s="33">
        <f t="shared" si="20"/>
        <v>0</v>
      </c>
      <c r="W178" s="69">
        <f t="shared" si="21"/>
        <v>44280</v>
      </c>
      <c r="X178" s="69">
        <f t="shared" si="22"/>
        <v>0</v>
      </c>
      <c r="Y178" s="70" t="s">
        <v>188</v>
      </c>
      <c r="Z178" s="72">
        <v>4428</v>
      </c>
      <c r="AA178" s="70" t="s">
        <v>155</v>
      </c>
      <c r="AB178" s="68">
        <f t="shared" si="23"/>
        <v>-10</v>
      </c>
      <c r="AC178" s="73">
        <v>42971</v>
      </c>
      <c r="AD178" s="73">
        <v>43100</v>
      </c>
      <c r="AE178" s="70" t="s">
        <v>57</v>
      </c>
      <c r="AF178" s="71">
        <v>0</v>
      </c>
      <c r="AG178" s="71">
        <v>0</v>
      </c>
      <c r="AH178" s="32">
        <f t="shared" si="24"/>
        <v>10</v>
      </c>
      <c r="AI178" s="71">
        <v>0</v>
      </c>
      <c r="AJ178" s="33">
        <f t="shared" si="25"/>
        <v>0</v>
      </c>
      <c r="AK178" s="69">
        <f t="shared" si="26"/>
        <v>44280</v>
      </c>
      <c r="AL178" s="69">
        <f t="shared" si="27"/>
        <v>0</v>
      </c>
      <c r="AM178" s="70" t="s">
        <v>72</v>
      </c>
      <c r="AN178" s="70" t="s">
        <v>59</v>
      </c>
      <c r="AO178" s="70" t="s">
        <v>85</v>
      </c>
    </row>
    <row r="179" spans="1:41" x14ac:dyDescent="0.25">
      <c r="A179" s="70" t="s">
        <v>155</v>
      </c>
      <c r="B179" s="70">
        <v>2017</v>
      </c>
      <c r="C179" s="70" t="s">
        <v>71</v>
      </c>
      <c r="D179" s="70" t="s">
        <v>71</v>
      </c>
      <c r="E179" s="70" t="s">
        <v>83</v>
      </c>
      <c r="F179" s="70">
        <v>5835</v>
      </c>
      <c r="G179" s="70" t="s">
        <v>189</v>
      </c>
      <c r="H179" s="71">
        <v>0</v>
      </c>
      <c r="I179" s="71">
        <v>0</v>
      </c>
      <c r="J179" s="71">
        <v>0</v>
      </c>
      <c r="K179" s="71">
        <v>0</v>
      </c>
      <c r="L179" s="71">
        <v>0</v>
      </c>
      <c r="M179" s="71">
        <v>0</v>
      </c>
      <c r="N179" s="71">
        <v>0</v>
      </c>
      <c r="O179" s="71">
        <v>0</v>
      </c>
      <c r="P179" s="71">
        <v>6</v>
      </c>
      <c r="Q179" s="71">
        <v>0</v>
      </c>
      <c r="R179" s="71">
        <v>0</v>
      </c>
      <c r="S179" s="71">
        <v>0</v>
      </c>
      <c r="T179" s="68">
        <f t="shared" si="19"/>
        <v>6</v>
      </c>
      <c r="U179" s="71">
        <v>0</v>
      </c>
      <c r="V179" s="33">
        <f t="shared" si="20"/>
        <v>0</v>
      </c>
      <c r="W179" s="69">
        <f t="shared" si="21"/>
        <v>13989</v>
      </c>
      <c r="X179" s="69">
        <f t="shared" si="22"/>
        <v>0</v>
      </c>
      <c r="Y179" s="70" t="s">
        <v>188</v>
      </c>
      <c r="Z179" s="72">
        <v>2331.5</v>
      </c>
      <c r="AA179" s="70" t="s">
        <v>155</v>
      </c>
      <c r="AB179" s="68">
        <f t="shared" si="23"/>
        <v>-6</v>
      </c>
      <c r="AC179" s="73">
        <v>42971</v>
      </c>
      <c r="AD179" s="73">
        <v>43100</v>
      </c>
      <c r="AE179" s="70" t="s">
        <v>57</v>
      </c>
      <c r="AF179" s="71">
        <v>0</v>
      </c>
      <c r="AG179" s="71">
        <v>0</v>
      </c>
      <c r="AH179" s="32">
        <f t="shared" si="24"/>
        <v>6</v>
      </c>
      <c r="AI179" s="71">
        <v>0</v>
      </c>
      <c r="AJ179" s="33">
        <f t="shared" si="25"/>
        <v>0</v>
      </c>
      <c r="AK179" s="69">
        <f t="shared" si="26"/>
        <v>13989</v>
      </c>
      <c r="AL179" s="69">
        <f t="shared" si="27"/>
        <v>0</v>
      </c>
      <c r="AM179" s="70" t="s">
        <v>72</v>
      </c>
      <c r="AN179" s="70" t="s">
        <v>59</v>
      </c>
      <c r="AO179" s="70" t="s">
        <v>85</v>
      </c>
    </row>
    <row r="180" spans="1:41" x14ac:dyDescent="0.25">
      <c r="A180" s="70" t="s">
        <v>126</v>
      </c>
      <c r="B180" s="70">
        <v>2017</v>
      </c>
      <c r="C180" s="70" t="s">
        <v>71</v>
      </c>
      <c r="D180" s="70" t="s">
        <v>71</v>
      </c>
      <c r="E180" s="70" t="s">
        <v>96</v>
      </c>
      <c r="F180" s="70">
        <v>5452</v>
      </c>
      <c r="G180" s="70" t="s">
        <v>221</v>
      </c>
      <c r="H180" s="71">
        <v>450</v>
      </c>
      <c r="I180" s="71">
        <v>0</v>
      </c>
      <c r="J180" s="71">
        <v>0</v>
      </c>
      <c r="K180" s="71">
        <v>450</v>
      </c>
      <c r="L180" s="71">
        <v>0</v>
      </c>
      <c r="M180" s="71">
        <v>0</v>
      </c>
      <c r="N180" s="71">
        <v>0</v>
      </c>
      <c r="O180" s="71">
        <v>0</v>
      </c>
      <c r="P180" s="71">
        <v>0</v>
      </c>
      <c r="Q180" s="71">
        <v>0</v>
      </c>
      <c r="R180" s="71">
        <v>0</v>
      </c>
      <c r="S180" s="71">
        <v>0</v>
      </c>
      <c r="T180" s="68">
        <f t="shared" si="19"/>
        <v>900</v>
      </c>
      <c r="U180" s="71">
        <v>0</v>
      </c>
      <c r="V180" s="33">
        <f t="shared" si="20"/>
        <v>0</v>
      </c>
      <c r="W180" s="69">
        <f t="shared" si="21"/>
        <v>12234222</v>
      </c>
      <c r="X180" s="69">
        <f t="shared" si="22"/>
        <v>0</v>
      </c>
      <c r="Y180" s="70" t="s">
        <v>188</v>
      </c>
      <c r="Z180" s="72">
        <v>13593.58</v>
      </c>
      <c r="AA180" s="70" t="s">
        <v>127</v>
      </c>
      <c r="AB180" s="68">
        <f t="shared" si="23"/>
        <v>-900</v>
      </c>
      <c r="AC180" s="73">
        <v>42685</v>
      </c>
      <c r="AD180" s="73">
        <v>43018</v>
      </c>
      <c r="AE180" s="70" t="s">
        <v>57</v>
      </c>
      <c r="AF180" s="71">
        <v>0</v>
      </c>
      <c r="AG180" s="71">
        <v>0</v>
      </c>
      <c r="AH180" s="32">
        <f t="shared" si="24"/>
        <v>900</v>
      </c>
      <c r="AI180" s="71">
        <v>0</v>
      </c>
      <c r="AJ180" s="33">
        <f t="shared" si="25"/>
        <v>0</v>
      </c>
      <c r="AK180" s="69">
        <f t="shared" si="26"/>
        <v>12234222</v>
      </c>
      <c r="AL180" s="69">
        <f t="shared" si="27"/>
        <v>0</v>
      </c>
      <c r="AM180" s="70" t="s">
        <v>72</v>
      </c>
      <c r="AN180" s="70" t="s">
        <v>59</v>
      </c>
      <c r="AO180" s="70" t="s">
        <v>85</v>
      </c>
    </row>
    <row r="181" spans="1:41" x14ac:dyDescent="0.25">
      <c r="A181" s="70" t="s">
        <v>126</v>
      </c>
      <c r="B181" s="70">
        <v>2017</v>
      </c>
      <c r="C181" s="70" t="s">
        <v>71</v>
      </c>
      <c r="D181" s="70" t="s">
        <v>71</v>
      </c>
      <c r="E181" s="70" t="s">
        <v>96</v>
      </c>
      <c r="F181" s="70">
        <v>5613</v>
      </c>
      <c r="G181" s="70" t="s">
        <v>194</v>
      </c>
      <c r="H181" s="71">
        <v>45</v>
      </c>
      <c r="I181" s="71">
        <v>0</v>
      </c>
      <c r="J181" s="71">
        <v>0</v>
      </c>
      <c r="K181" s="71">
        <v>45</v>
      </c>
      <c r="L181" s="71">
        <v>0</v>
      </c>
      <c r="M181" s="71">
        <v>0</v>
      </c>
      <c r="N181" s="71">
        <v>0</v>
      </c>
      <c r="O181" s="71">
        <v>0</v>
      </c>
      <c r="P181" s="71">
        <v>0</v>
      </c>
      <c r="Q181" s="71">
        <v>0</v>
      </c>
      <c r="R181" s="71">
        <v>0</v>
      </c>
      <c r="S181" s="71">
        <v>0</v>
      </c>
      <c r="T181" s="68">
        <f t="shared" si="19"/>
        <v>90</v>
      </c>
      <c r="U181" s="71">
        <v>0</v>
      </c>
      <c r="V181" s="33">
        <f t="shared" si="20"/>
        <v>0</v>
      </c>
      <c r="W181" s="69">
        <f t="shared" si="21"/>
        <v>329004</v>
      </c>
      <c r="X181" s="69">
        <f t="shared" si="22"/>
        <v>0</v>
      </c>
      <c r="Y181" s="70" t="s">
        <v>188</v>
      </c>
      <c r="Z181" s="72">
        <v>3655.6</v>
      </c>
      <c r="AA181" s="70" t="s">
        <v>127</v>
      </c>
      <c r="AB181" s="68">
        <f t="shared" si="23"/>
        <v>-90</v>
      </c>
      <c r="AC181" s="73">
        <v>42685</v>
      </c>
      <c r="AD181" s="73">
        <v>43018</v>
      </c>
      <c r="AE181" s="70" t="s">
        <v>57</v>
      </c>
      <c r="AF181" s="71">
        <v>0</v>
      </c>
      <c r="AG181" s="71">
        <v>0</v>
      </c>
      <c r="AH181" s="32">
        <f t="shared" si="24"/>
        <v>90</v>
      </c>
      <c r="AI181" s="71">
        <v>0</v>
      </c>
      <c r="AJ181" s="33">
        <f t="shared" si="25"/>
        <v>0</v>
      </c>
      <c r="AK181" s="69">
        <f t="shared" si="26"/>
        <v>329004</v>
      </c>
      <c r="AL181" s="69">
        <f t="shared" si="27"/>
        <v>0</v>
      </c>
      <c r="AM181" s="70" t="s">
        <v>72</v>
      </c>
      <c r="AN181" s="70" t="s">
        <v>59</v>
      </c>
      <c r="AO181" s="70" t="s">
        <v>85</v>
      </c>
    </row>
    <row r="182" spans="1:41" x14ac:dyDescent="0.25">
      <c r="A182" s="70" t="s">
        <v>178</v>
      </c>
      <c r="B182" s="70">
        <v>2017</v>
      </c>
      <c r="C182" s="70" t="s">
        <v>71</v>
      </c>
      <c r="D182" s="70" t="s">
        <v>71</v>
      </c>
      <c r="E182" s="70" t="s">
        <v>96</v>
      </c>
      <c r="F182" s="70">
        <v>5613</v>
      </c>
      <c r="G182" s="70" t="s">
        <v>194</v>
      </c>
      <c r="H182" s="71">
        <v>0</v>
      </c>
      <c r="I182" s="71">
        <v>0</v>
      </c>
      <c r="J182" s="71">
        <v>0</v>
      </c>
      <c r="K182" s="71">
        <v>0</v>
      </c>
      <c r="L182" s="71">
        <v>0</v>
      </c>
      <c r="M182" s="71">
        <v>0</v>
      </c>
      <c r="N182" s="71">
        <v>0</v>
      </c>
      <c r="O182" s="71">
        <v>0</v>
      </c>
      <c r="P182" s="71">
        <v>150</v>
      </c>
      <c r="Q182" s="71">
        <v>0</v>
      </c>
      <c r="R182" s="71">
        <v>0</v>
      </c>
      <c r="S182" s="71">
        <v>0</v>
      </c>
      <c r="T182" s="68">
        <f t="shared" si="19"/>
        <v>150</v>
      </c>
      <c r="U182" s="71">
        <v>0</v>
      </c>
      <c r="V182" s="33">
        <f t="shared" si="20"/>
        <v>0</v>
      </c>
      <c r="W182" s="69">
        <f t="shared" si="21"/>
        <v>548340</v>
      </c>
      <c r="X182" s="69">
        <f t="shared" si="22"/>
        <v>0</v>
      </c>
      <c r="Y182" s="70" t="s">
        <v>188</v>
      </c>
      <c r="Z182" s="72">
        <v>3655.6</v>
      </c>
      <c r="AA182" s="70" t="s">
        <v>178</v>
      </c>
      <c r="AB182" s="68">
        <f t="shared" si="23"/>
        <v>-150</v>
      </c>
      <c r="AC182" s="73">
        <v>42986</v>
      </c>
      <c r="AD182" s="73">
        <v>43100</v>
      </c>
      <c r="AE182" s="70" t="s">
        <v>57</v>
      </c>
      <c r="AF182" s="71">
        <v>0</v>
      </c>
      <c r="AG182" s="71">
        <v>0</v>
      </c>
      <c r="AH182" s="32">
        <f t="shared" si="24"/>
        <v>150</v>
      </c>
      <c r="AI182" s="71">
        <v>0</v>
      </c>
      <c r="AJ182" s="33">
        <f t="shared" si="25"/>
        <v>0</v>
      </c>
      <c r="AK182" s="69">
        <f t="shared" si="26"/>
        <v>548340</v>
      </c>
      <c r="AL182" s="69">
        <f t="shared" si="27"/>
        <v>0</v>
      </c>
      <c r="AM182" s="70" t="s">
        <v>72</v>
      </c>
      <c r="AN182" s="70" t="s">
        <v>59</v>
      </c>
      <c r="AO182" s="70" t="s">
        <v>85</v>
      </c>
    </row>
    <row r="183" spans="1:41" x14ac:dyDescent="0.25">
      <c r="A183" s="70" t="s">
        <v>126</v>
      </c>
      <c r="B183" s="70">
        <v>2017</v>
      </c>
      <c r="C183" s="70" t="s">
        <v>71</v>
      </c>
      <c r="D183" s="70" t="s">
        <v>71</v>
      </c>
      <c r="E183" s="70" t="s">
        <v>96</v>
      </c>
      <c r="F183" s="70">
        <v>5624</v>
      </c>
      <c r="G183" s="70" t="s">
        <v>191</v>
      </c>
      <c r="H183" s="71">
        <v>50</v>
      </c>
      <c r="I183" s="71">
        <v>0</v>
      </c>
      <c r="J183" s="71">
        <v>0</v>
      </c>
      <c r="K183" s="71">
        <v>50</v>
      </c>
      <c r="L183" s="71">
        <v>0</v>
      </c>
      <c r="M183" s="71">
        <v>0</v>
      </c>
      <c r="N183" s="71">
        <v>0</v>
      </c>
      <c r="O183" s="71">
        <v>0</v>
      </c>
      <c r="P183" s="71">
        <v>0</v>
      </c>
      <c r="Q183" s="71">
        <v>0</v>
      </c>
      <c r="R183" s="71">
        <v>0</v>
      </c>
      <c r="S183" s="71">
        <v>0</v>
      </c>
      <c r="T183" s="68">
        <f t="shared" si="19"/>
        <v>100</v>
      </c>
      <c r="U183" s="71">
        <v>0</v>
      </c>
      <c r="V183" s="33">
        <f t="shared" si="20"/>
        <v>0</v>
      </c>
      <c r="W183" s="69">
        <f t="shared" si="21"/>
        <v>734300</v>
      </c>
      <c r="X183" s="69">
        <f t="shared" si="22"/>
        <v>0</v>
      </c>
      <c r="Y183" s="70" t="s">
        <v>188</v>
      </c>
      <c r="Z183" s="72">
        <v>7343</v>
      </c>
      <c r="AA183" s="70" t="s">
        <v>127</v>
      </c>
      <c r="AB183" s="68">
        <f t="shared" si="23"/>
        <v>-100</v>
      </c>
      <c r="AC183" s="73">
        <v>42685</v>
      </c>
      <c r="AD183" s="73">
        <v>43018</v>
      </c>
      <c r="AE183" s="70" t="s">
        <v>57</v>
      </c>
      <c r="AF183" s="71">
        <v>0</v>
      </c>
      <c r="AG183" s="71">
        <v>0</v>
      </c>
      <c r="AH183" s="32">
        <f t="shared" si="24"/>
        <v>100</v>
      </c>
      <c r="AI183" s="71">
        <v>0</v>
      </c>
      <c r="AJ183" s="33">
        <f t="shared" si="25"/>
        <v>0</v>
      </c>
      <c r="AK183" s="69">
        <f t="shared" si="26"/>
        <v>734300</v>
      </c>
      <c r="AL183" s="69">
        <f t="shared" si="27"/>
        <v>0</v>
      </c>
      <c r="AM183" s="70" t="s">
        <v>72</v>
      </c>
      <c r="AN183" s="70" t="s">
        <v>59</v>
      </c>
      <c r="AO183" s="70" t="s">
        <v>85</v>
      </c>
    </row>
    <row r="184" spans="1:41" x14ac:dyDescent="0.25">
      <c r="A184" s="70" t="s">
        <v>155</v>
      </c>
      <c r="B184" s="70">
        <v>2017</v>
      </c>
      <c r="C184" s="70" t="s">
        <v>71</v>
      </c>
      <c r="D184" s="70" t="s">
        <v>71</v>
      </c>
      <c r="E184" s="70" t="s">
        <v>96</v>
      </c>
      <c r="F184" s="70">
        <v>5624</v>
      </c>
      <c r="G184" s="70" t="s">
        <v>191</v>
      </c>
      <c r="H184" s="71">
        <v>0</v>
      </c>
      <c r="I184" s="71">
        <v>0</v>
      </c>
      <c r="J184" s="71">
        <v>0</v>
      </c>
      <c r="K184" s="71">
        <v>0</v>
      </c>
      <c r="L184" s="71">
        <v>0</v>
      </c>
      <c r="M184" s="71">
        <v>0</v>
      </c>
      <c r="N184" s="71">
        <v>0</v>
      </c>
      <c r="O184" s="71">
        <v>0</v>
      </c>
      <c r="P184" s="71">
        <v>100</v>
      </c>
      <c r="Q184" s="71">
        <v>0</v>
      </c>
      <c r="R184" s="71">
        <v>0</v>
      </c>
      <c r="S184" s="71">
        <v>0</v>
      </c>
      <c r="T184" s="68">
        <f t="shared" si="19"/>
        <v>100</v>
      </c>
      <c r="U184" s="71">
        <v>0</v>
      </c>
      <c r="V184" s="33">
        <f t="shared" si="20"/>
        <v>0</v>
      </c>
      <c r="W184" s="69">
        <f t="shared" si="21"/>
        <v>734300</v>
      </c>
      <c r="X184" s="69">
        <f t="shared" si="22"/>
        <v>0</v>
      </c>
      <c r="Y184" s="70" t="s">
        <v>188</v>
      </c>
      <c r="Z184" s="72">
        <v>7343</v>
      </c>
      <c r="AA184" s="70" t="s">
        <v>155</v>
      </c>
      <c r="AB184" s="68">
        <f t="shared" si="23"/>
        <v>-100</v>
      </c>
      <c r="AC184" s="73">
        <v>42971</v>
      </c>
      <c r="AD184" s="73">
        <v>43100</v>
      </c>
      <c r="AE184" s="70" t="s">
        <v>57</v>
      </c>
      <c r="AF184" s="71">
        <v>0</v>
      </c>
      <c r="AG184" s="71">
        <v>0</v>
      </c>
      <c r="AH184" s="32">
        <f t="shared" si="24"/>
        <v>100</v>
      </c>
      <c r="AI184" s="71">
        <v>0</v>
      </c>
      <c r="AJ184" s="33">
        <f t="shared" si="25"/>
        <v>0</v>
      </c>
      <c r="AK184" s="69">
        <f t="shared" si="26"/>
        <v>734300</v>
      </c>
      <c r="AL184" s="69">
        <f t="shared" si="27"/>
        <v>0</v>
      </c>
      <c r="AM184" s="70" t="s">
        <v>72</v>
      </c>
      <c r="AN184" s="70" t="s">
        <v>59</v>
      </c>
      <c r="AO184" s="70" t="s">
        <v>85</v>
      </c>
    </row>
    <row r="185" spans="1:41" x14ac:dyDescent="0.25">
      <c r="A185" s="70" t="s">
        <v>126</v>
      </c>
      <c r="B185" s="70">
        <v>2017</v>
      </c>
      <c r="C185" s="70" t="s">
        <v>71</v>
      </c>
      <c r="D185" s="70" t="s">
        <v>71</v>
      </c>
      <c r="E185" s="70" t="s">
        <v>96</v>
      </c>
      <c r="F185" s="70">
        <v>5627</v>
      </c>
      <c r="G185" s="70" t="s">
        <v>187</v>
      </c>
      <c r="H185" s="71">
        <v>150</v>
      </c>
      <c r="I185" s="71">
        <v>0</v>
      </c>
      <c r="J185" s="71">
        <v>0</v>
      </c>
      <c r="K185" s="71">
        <v>150</v>
      </c>
      <c r="L185" s="71">
        <v>0</v>
      </c>
      <c r="M185" s="71">
        <v>0</v>
      </c>
      <c r="N185" s="71">
        <v>0</v>
      </c>
      <c r="O185" s="71">
        <v>0</v>
      </c>
      <c r="P185" s="71">
        <v>0</v>
      </c>
      <c r="Q185" s="71">
        <v>0</v>
      </c>
      <c r="R185" s="71">
        <v>0</v>
      </c>
      <c r="S185" s="71">
        <v>0</v>
      </c>
      <c r="T185" s="68">
        <f t="shared" si="19"/>
        <v>300</v>
      </c>
      <c r="U185" s="71">
        <v>0</v>
      </c>
      <c r="V185" s="33">
        <f t="shared" si="20"/>
        <v>0</v>
      </c>
      <c r="W185" s="69">
        <f t="shared" si="21"/>
        <v>787200</v>
      </c>
      <c r="X185" s="69">
        <f t="shared" si="22"/>
        <v>0</v>
      </c>
      <c r="Y185" s="70" t="s">
        <v>188</v>
      </c>
      <c r="Z185" s="72">
        <v>2624</v>
      </c>
      <c r="AA185" s="70" t="s">
        <v>127</v>
      </c>
      <c r="AB185" s="68">
        <f t="shared" si="23"/>
        <v>-300</v>
      </c>
      <c r="AC185" s="73">
        <v>42685</v>
      </c>
      <c r="AD185" s="73">
        <v>43018</v>
      </c>
      <c r="AE185" s="70" t="s">
        <v>57</v>
      </c>
      <c r="AF185" s="71">
        <v>0</v>
      </c>
      <c r="AG185" s="71">
        <v>0</v>
      </c>
      <c r="AH185" s="32">
        <f t="shared" si="24"/>
        <v>300</v>
      </c>
      <c r="AI185" s="71">
        <v>0</v>
      </c>
      <c r="AJ185" s="33">
        <f t="shared" si="25"/>
        <v>0</v>
      </c>
      <c r="AK185" s="69">
        <f t="shared" si="26"/>
        <v>787200</v>
      </c>
      <c r="AL185" s="69">
        <f t="shared" si="27"/>
        <v>0</v>
      </c>
      <c r="AM185" s="70" t="s">
        <v>72</v>
      </c>
      <c r="AN185" s="70" t="s">
        <v>59</v>
      </c>
      <c r="AO185" s="70" t="s">
        <v>85</v>
      </c>
    </row>
    <row r="186" spans="1:41" x14ac:dyDescent="0.25">
      <c r="A186" s="70" t="s">
        <v>155</v>
      </c>
      <c r="B186" s="70">
        <v>2017</v>
      </c>
      <c r="C186" s="70" t="s">
        <v>71</v>
      </c>
      <c r="D186" s="70" t="s">
        <v>71</v>
      </c>
      <c r="E186" s="70" t="s">
        <v>96</v>
      </c>
      <c r="F186" s="70">
        <v>5627</v>
      </c>
      <c r="G186" s="70" t="s">
        <v>187</v>
      </c>
      <c r="H186" s="71">
        <v>0</v>
      </c>
      <c r="I186" s="71">
        <v>0</v>
      </c>
      <c r="J186" s="71">
        <v>0</v>
      </c>
      <c r="K186" s="71">
        <v>0</v>
      </c>
      <c r="L186" s="71">
        <v>0</v>
      </c>
      <c r="M186" s="71">
        <v>0</v>
      </c>
      <c r="N186" s="71">
        <v>0</v>
      </c>
      <c r="O186" s="71">
        <v>0</v>
      </c>
      <c r="P186" s="71">
        <v>400</v>
      </c>
      <c r="Q186" s="71">
        <v>0</v>
      </c>
      <c r="R186" s="71">
        <v>0</v>
      </c>
      <c r="S186" s="71">
        <v>0</v>
      </c>
      <c r="T186" s="68">
        <f t="shared" si="19"/>
        <v>400</v>
      </c>
      <c r="U186" s="71">
        <v>0</v>
      </c>
      <c r="V186" s="33">
        <f t="shared" si="20"/>
        <v>0</v>
      </c>
      <c r="W186" s="69">
        <f t="shared" si="21"/>
        <v>1049600</v>
      </c>
      <c r="X186" s="69">
        <f t="shared" si="22"/>
        <v>0</v>
      </c>
      <c r="Y186" s="70" t="s">
        <v>188</v>
      </c>
      <c r="Z186" s="72">
        <v>2624</v>
      </c>
      <c r="AA186" s="70" t="s">
        <v>155</v>
      </c>
      <c r="AB186" s="68">
        <f t="shared" si="23"/>
        <v>-400</v>
      </c>
      <c r="AC186" s="73">
        <v>42971</v>
      </c>
      <c r="AD186" s="73">
        <v>43100</v>
      </c>
      <c r="AE186" s="70" t="s">
        <v>57</v>
      </c>
      <c r="AF186" s="71">
        <v>0</v>
      </c>
      <c r="AG186" s="71">
        <v>0</v>
      </c>
      <c r="AH186" s="32">
        <f t="shared" si="24"/>
        <v>400</v>
      </c>
      <c r="AI186" s="71">
        <v>0</v>
      </c>
      <c r="AJ186" s="33">
        <f t="shared" si="25"/>
        <v>0</v>
      </c>
      <c r="AK186" s="69">
        <f t="shared" si="26"/>
        <v>1049600</v>
      </c>
      <c r="AL186" s="69">
        <f t="shared" si="27"/>
        <v>0</v>
      </c>
      <c r="AM186" s="70" t="s">
        <v>72</v>
      </c>
      <c r="AN186" s="70" t="s">
        <v>59</v>
      </c>
      <c r="AO186" s="70" t="s">
        <v>85</v>
      </c>
    </row>
    <row r="187" spans="1:41" x14ac:dyDescent="0.25">
      <c r="A187" s="70" t="s">
        <v>183</v>
      </c>
      <c r="B187" s="70">
        <v>2017</v>
      </c>
      <c r="C187" s="70" t="s">
        <v>71</v>
      </c>
      <c r="D187" s="70" t="s">
        <v>71</v>
      </c>
      <c r="E187" s="70" t="s">
        <v>96</v>
      </c>
      <c r="F187" s="70">
        <v>5628</v>
      </c>
      <c r="G187" s="70" t="s">
        <v>219</v>
      </c>
      <c r="H187" s="71">
        <v>0</v>
      </c>
      <c r="I187" s="71">
        <v>150</v>
      </c>
      <c r="J187" s="71">
        <v>0</v>
      </c>
      <c r="K187" s="71">
        <v>150</v>
      </c>
      <c r="L187" s="71">
        <v>0</v>
      </c>
      <c r="M187" s="71">
        <v>0</v>
      </c>
      <c r="N187" s="71">
        <v>0</v>
      </c>
      <c r="O187" s="71">
        <v>0</v>
      </c>
      <c r="P187" s="71">
        <v>0</v>
      </c>
      <c r="Q187" s="71">
        <v>0</v>
      </c>
      <c r="R187" s="71">
        <v>0</v>
      </c>
      <c r="S187" s="71">
        <v>0</v>
      </c>
      <c r="T187" s="68">
        <f t="shared" si="19"/>
        <v>300</v>
      </c>
      <c r="U187" s="71">
        <v>0</v>
      </c>
      <c r="V187" s="33">
        <f t="shared" si="20"/>
        <v>0</v>
      </c>
      <c r="W187" s="69">
        <f t="shared" si="21"/>
        <v>1296000</v>
      </c>
      <c r="X187" s="69">
        <f t="shared" si="22"/>
        <v>0</v>
      </c>
      <c r="Y187" s="70" t="s">
        <v>188</v>
      </c>
      <c r="Z187" s="72">
        <v>4320</v>
      </c>
      <c r="AA187" s="70" t="s">
        <v>183</v>
      </c>
      <c r="AB187" s="68">
        <f t="shared" si="23"/>
        <v>-300</v>
      </c>
      <c r="AC187" s="73">
        <v>42783</v>
      </c>
      <c r="AD187" s="73">
        <v>43074</v>
      </c>
      <c r="AE187" s="70" t="s">
        <v>57</v>
      </c>
      <c r="AF187" s="71">
        <v>0</v>
      </c>
      <c r="AG187" s="71">
        <v>0</v>
      </c>
      <c r="AH187" s="32">
        <f t="shared" si="24"/>
        <v>300</v>
      </c>
      <c r="AI187" s="71">
        <v>0</v>
      </c>
      <c r="AJ187" s="33">
        <f t="shared" si="25"/>
        <v>0</v>
      </c>
      <c r="AK187" s="69">
        <f t="shared" si="26"/>
        <v>1296000</v>
      </c>
      <c r="AL187" s="69">
        <f t="shared" si="27"/>
        <v>0</v>
      </c>
      <c r="AM187" s="70" t="s">
        <v>72</v>
      </c>
      <c r="AN187" s="70" t="s">
        <v>59</v>
      </c>
      <c r="AO187" s="70" t="s">
        <v>85</v>
      </c>
    </row>
    <row r="188" spans="1:41" x14ac:dyDescent="0.25">
      <c r="A188" s="70" t="s">
        <v>155</v>
      </c>
      <c r="B188" s="70">
        <v>2017</v>
      </c>
      <c r="C188" s="70" t="s">
        <v>71</v>
      </c>
      <c r="D188" s="70" t="s">
        <v>71</v>
      </c>
      <c r="E188" s="70" t="s">
        <v>96</v>
      </c>
      <c r="F188" s="70">
        <v>5628</v>
      </c>
      <c r="G188" s="70" t="s">
        <v>219</v>
      </c>
      <c r="H188" s="71">
        <v>0</v>
      </c>
      <c r="I188" s="71">
        <v>0</v>
      </c>
      <c r="J188" s="71">
        <v>0</v>
      </c>
      <c r="K188" s="71">
        <v>0</v>
      </c>
      <c r="L188" s="71">
        <v>0</v>
      </c>
      <c r="M188" s="71">
        <v>0</v>
      </c>
      <c r="N188" s="71">
        <v>0</v>
      </c>
      <c r="O188" s="71">
        <v>0</v>
      </c>
      <c r="P188" s="71">
        <v>840</v>
      </c>
      <c r="Q188" s="71">
        <v>0</v>
      </c>
      <c r="R188" s="71">
        <v>0</v>
      </c>
      <c r="S188" s="71">
        <v>0</v>
      </c>
      <c r="T188" s="68">
        <f t="shared" si="19"/>
        <v>840</v>
      </c>
      <c r="U188" s="71">
        <v>0</v>
      </c>
      <c r="V188" s="33">
        <f t="shared" si="20"/>
        <v>0</v>
      </c>
      <c r="W188" s="69">
        <f t="shared" si="21"/>
        <v>3628800</v>
      </c>
      <c r="X188" s="69">
        <f t="shared" si="22"/>
        <v>0</v>
      </c>
      <c r="Y188" s="70" t="s">
        <v>188</v>
      </c>
      <c r="Z188" s="72">
        <v>4320</v>
      </c>
      <c r="AA188" s="70" t="s">
        <v>155</v>
      </c>
      <c r="AB188" s="68">
        <f t="shared" si="23"/>
        <v>-840</v>
      </c>
      <c r="AC188" s="73">
        <v>42971</v>
      </c>
      <c r="AD188" s="73">
        <v>43100</v>
      </c>
      <c r="AE188" s="70" t="s">
        <v>57</v>
      </c>
      <c r="AF188" s="71">
        <v>0</v>
      </c>
      <c r="AG188" s="71">
        <v>0</v>
      </c>
      <c r="AH188" s="32">
        <f t="shared" si="24"/>
        <v>840</v>
      </c>
      <c r="AI188" s="71">
        <v>0</v>
      </c>
      <c r="AJ188" s="33">
        <f t="shared" si="25"/>
        <v>0</v>
      </c>
      <c r="AK188" s="69">
        <f t="shared" si="26"/>
        <v>3628800</v>
      </c>
      <c r="AL188" s="69">
        <f t="shared" si="27"/>
        <v>0</v>
      </c>
      <c r="AM188" s="70" t="s">
        <v>72</v>
      </c>
      <c r="AN188" s="70" t="s">
        <v>59</v>
      </c>
      <c r="AO188" s="70" t="s">
        <v>85</v>
      </c>
    </row>
    <row r="189" spans="1:41" x14ac:dyDescent="0.25">
      <c r="A189" s="70" t="s">
        <v>126</v>
      </c>
      <c r="B189" s="70">
        <v>2017</v>
      </c>
      <c r="C189" s="70" t="s">
        <v>71</v>
      </c>
      <c r="D189" s="70" t="s">
        <v>71</v>
      </c>
      <c r="E189" s="70" t="s">
        <v>96</v>
      </c>
      <c r="F189" s="70">
        <v>5632</v>
      </c>
      <c r="G189" s="70" t="s">
        <v>212</v>
      </c>
      <c r="H189" s="71">
        <v>50</v>
      </c>
      <c r="I189" s="71">
        <v>0</v>
      </c>
      <c r="J189" s="71">
        <v>0</v>
      </c>
      <c r="K189" s="71">
        <v>50</v>
      </c>
      <c r="L189" s="71">
        <v>0</v>
      </c>
      <c r="M189" s="71">
        <v>0</v>
      </c>
      <c r="N189" s="71">
        <v>0</v>
      </c>
      <c r="O189" s="71">
        <v>0</v>
      </c>
      <c r="P189" s="71">
        <v>0</v>
      </c>
      <c r="Q189" s="71">
        <v>0</v>
      </c>
      <c r="R189" s="71">
        <v>0</v>
      </c>
      <c r="S189" s="71">
        <v>0</v>
      </c>
      <c r="T189" s="68">
        <f t="shared" si="19"/>
        <v>100</v>
      </c>
      <c r="U189" s="71">
        <v>0</v>
      </c>
      <c r="V189" s="33">
        <f t="shared" si="20"/>
        <v>0</v>
      </c>
      <c r="W189" s="69">
        <f t="shared" si="21"/>
        <v>442800</v>
      </c>
      <c r="X189" s="69">
        <f t="shared" si="22"/>
        <v>0</v>
      </c>
      <c r="Y189" s="70" t="s">
        <v>188</v>
      </c>
      <c r="Z189" s="72">
        <v>4428</v>
      </c>
      <c r="AA189" s="70" t="s">
        <v>127</v>
      </c>
      <c r="AB189" s="68">
        <f t="shared" si="23"/>
        <v>-100</v>
      </c>
      <c r="AC189" s="73">
        <v>42685</v>
      </c>
      <c r="AD189" s="73">
        <v>43018</v>
      </c>
      <c r="AE189" s="70" t="s">
        <v>57</v>
      </c>
      <c r="AF189" s="71">
        <v>0</v>
      </c>
      <c r="AG189" s="71">
        <v>0</v>
      </c>
      <c r="AH189" s="32">
        <f t="shared" si="24"/>
        <v>100</v>
      </c>
      <c r="AI189" s="71">
        <v>0</v>
      </c>
      <c r="AJ189" s="33">
        <f t="shared" si="25"/>
        <v>0</v>
      </c>
      <c r="AK189" s="69">
        <f t="shared" si="26"/>
        <v>442800</v>
      </c>
      <c r="AL189" s="69">
        <f t="shared" si="27"/>
        <v>0</v>
      </c>
      <c r="AM189" s="70" t="s">
        <v>72</v>
      </c>
      <c r="AN189" s="70" t="s">
        <v>59</v>
      </c>
      <c r="AO189" s="70" t="s">
        <v>85</v>
      </c>
    </row>
    <row r="190" spans="1:41" x14ac:dyDescent="0.25">
      <c r="A190" s="70" t="s">
        <v>155</v>
      </c>
      <c r="B190" s="70">
        <v>2017</v>
      </c>
      <c r="C190" s="70" t="s">
        <v>71</v>
      </c>
      <c r="D190" s="70" t="s">
        <v>71</v>
      </c>
      <c r="E190" s="70" t="s">
        <v>96</v>
      </c>
      <c r="F190" s="70">
        <v>5632</v>
      </c>
      <c r="G190" s="70" t="s">
        <v>212</v>
      </c>
      <c r="H190" s="71">
        <v>0</v>
      </c>
      <c r="I190" s="71">
        <v>0</v>
      </c>
      <c r="J190" s="71">
        <v>0</v>
      </c>
      <c r="K190" s="71">
        <v>0</v>
      </c>
      <c r="L190" s="71">
        <v>0</v>
      </c>
      <c r="M190" s="71">
        <v>0</v>
      </c>
      <c r="N190" s="71">
        <v>0</v>
      </c>
      <c r="O190" s="71">
        <v>0</v>
      </c>
      <c r="P190" s="71">
        <v>100</v>
      </c>
      <c r="Q190" s="71">
        <v>0</v>
      </c>
      <c r="R190" s="71">
        <v>0</v>
      </c>
      <c r="S190" s="71">
        <v>0</v>
      </c>
      <c r="T190" s="68">
        <f t="shared" si="19"/>
        <v>100</v>
      </c>
      <c r="U190" s="71">
        <v>0</v>
      </c>
      <c r="V190" s="33">
        <f t="shared" si="20"/>
        <v>0</v>
      </c>
      <c r="W190" s="69">
        <f t="shared" si="21"/>
        <v>442800</v>
      </c>
      <c r="X190" s="69">
        <f t="shared" si="22"/>
        <v>0</v>
      </c>
      <c r="Y190" s="70" t="s">
        <v>188</v>
      </c>
      <c r="Z190" s="72">
        <v>4428</v>
      </c>
      <c r="AA190" s="70" t="s">
        <v>155</v>
      </c>
      <c r="AB190" s="68">
        <f t="shared" si="23"/>
        <v>-100</v>
      </c>
      <c r="AC190" s="73">
        <v>42971</v>
      </c>
      <c r="AD190" s="73">
        <v>43100</v>
      </c>
      <c r="AE190" s="70" t="s">
        <v>57</v>
      </c>
      <c r="AF190" s="71">
        <v>0</v>
      </c>
      <c r="AG190" s="71">
        <v>0</v>
      </c>
      <c r="AH190" s="32">
        <f t="shared" si="24"/>
        <v>100</v>
      </c>
      <c r="AI190" s="71">
        <v>0</v>
      </c>
      <c r="AJ190" s="33">
        <f t="shared" si="25"/>
        <v>0</v>
      </c>
      <c r="AK190" s="69">
        <f t="shared" si="26"/>
        <v>442800</v>
      </c>
      <c r="AL190" s="69">
        <f t="shared" si="27"/>
        <v>0</v>
      </c>
      <c r="AM190" s="70" t="s">
        <v>72</v>
      </c>
      <c r="AN190" s="70" t="s">
        <v>59</v>
      </c>
      <c r="AO190" s="70" t="s">
        <v>85</v>
      </c>
    </row>
    <row r="191" spans="1:41" x14ac:dyDescent="0.25">
      <c r="A191" s="70" t="s">
        <v>126</v>
      </c>
      <c r="B191" s="70">
        <v>2017</v>
      </c>
      <c r="C191" s="70" t="s">
        <v>71</v>
      </c>
      <c r="D191" s="70" t="s">
        <v>71</v>
      </c>
      <c r="E191" s="70" t="s">
        <v>96</v>
      </c>
      <c r="F191" s="70">
        <v>5835</v>
      </c>
      <c r="G191" s="70" t="s">
        <v>189</v>
      </c>
      <c r="H191" s="71">
        <v>180</v>
      </c>
      <c r="I191" s="71">
        <v>0</v>
      </c>
      <c r="J191" s="71">
        <v>0</v>
      </c>
      <c r="K191" s="71">
        <v>180</v>
      </c>
      <c r="L191" s="71">
        <v>0</v>
      </c>
      <c r="M191" s="71">
        <v>0</v>
      </c>
      <c r="N191" s="71">
        <v>0</v>
      </c>
      <c r="O191" s="71">
        <v>0</v>
      </c>
      <c r="P191" s="71">
        <v>0</v>
      </c>
      <c r="Q191" s="71">
        <v>0</v>
      </c>
      <c r="R191" s="71">
        <v>0</v>
      </c>
      <c r="S191" s="71">
        <v>0</v>
      </c>
      <c r="T191" s="68">
        <f t="shared" si="19"/>
        <v>360</v>
      </c>
      <c r="U191" s="71">
        <v>0</v>
      </c>
      <c r="V191" s="33">
        <f t="shared" si="20"/>
        <v>0</v>
      </c>
      <c r="W191" s="69">
        <f t="shared" si="21"/>
        <v>839340</v>
      </c>
      <c r="X191" s="69">
        <f t="shared" si="22"/>
        <v>0</v>
      </c>
      <c r="Y191" s="70" t="s">
        <v>188</v>
      </c>
      <c r="Z191" s="72">
        <v>2331.5</v>
      </c>
      <c r="AA191" s="70" t="s">
        <v>127</v>
      </c>
      <c r="AB191" s="68">
        <f t="shared" si="23"/>
        <v>-360</v>
      </c>
      <c r="AC191" s="73">
        <v>42685</v>
      </c>
      <c r="AD191" s="73">
        <v>43018</v>
      </c>
      <c r="AE191" s="70" t="s">
        <v>57</v>
      </c>
      <c r="AF191" s="71">
        <v>0</v>
      </c>
      <c r="AG191" s="71">
        <v>0</v>
      </c>
      <c r="AH191" s="32">
        <f t="shared" si="24"/>
        <v>360</v>
      </c>
      <c r="AI191" s="71">
        <v>0</v>
      </c>
      <c r="AJ191" s="33">
        <f t="shared" si="25"/>
        <v>0</v>
      </c>
      <c r="AK191" s="69">
        <f t="shared" si="26"/>
        <v>839340</v>
      </c>
      <c r="AL191" s="69">
        <f t="shared" si="27"/>
        <v>0</v>
      </c>
      <c r="AM191" s="70" t="s">
        <v>72</v>
      </c>
      <c r="AN191" s="70" t="s">
        <v>59</v>
      </c>
      <c r="AO191" s="70" t="s">
        <v>85</v>
      </c>
    </row>
    <row r="192" spans="1:41" x14ac:dyDescent="0.25">
      <c r="A192" s="70" t="s">
        <v>155</v>
      </c>
      <c r="B192" s="70">
        <v>2017</v>
      </c>
      <c r="C192" s="70" t="s">
        <v>71</v>
      </c>
      <c r="D192" s="70" t="s">
        <v>71</v>
      </c>
      <c r="E192" s="70" t="s">
        <v>96</v>
      </c>
      <c r="F192" s="70">
        <v>5835</v>
      </c>
      <c r="G192" s="70" t="s">
        <v>189</v>
      </c>
      <c r="H192" s="71">
        <v>0</v>
      </c>
      <c r="I192" s="71">
        <v>0</v>
      </c>
      <c r="J192" s="71">
        <v>0</v>
      </c>
      <c r="K192" s="71">
        <v>0</v>
      </c>
      <c r="L192" s="71">
        <v>0</v>
      </c>
      <c r="M192" s="71">
        <v>0</v>
      </c>
      <c r="N192" s="71">
        <v>0</v>
      </c>
      <c r="O192" s="71">
        <v>0</v>
      </c>
      <c r="P192" s="71">
        <v>400</v>
      </c>
      <c r="Q192" s="71">
        <v>0</v>
      </c>
      <c r="R192" s="71">
        <v>0</v>
      </c>
      <c r="S192" s="71">
        <v>0</v>
      </c>
      <c r="T192" s="68">
        <f t="shared" si="19"/>
        <v>400</v>
      </c>
      <c r="U192" s="71">
        <v>0</v>
      </c>
      <c r="V192" s="33">
        <f t="shared" si="20"/>
        <v>0</v>
      </c>
      <c r="W192" s="69">
        <f t="shared" si="21"/>
        <v>932600</v>
      </c>
      <c r="X192" s="69">
        <f t="shared" si="22"/>
        <v>0</v>
      </c>
      <c r="Y192" s="70" t="s">
        <v>188</v>
      </c>
      <c r="Z192" s="72">
        <v>2331.5</v>
      </c>
      <c r="AA192" s="70" t="s">
        <v>155</v>
      </c>
      <c r="AB192" s="68">
        <f t="shared" si="23"/>
        <v>-400</v>
      </c>
      <c r="AC192" s="73">
        <v>42971</v>
      </c>
      <c r="AD192" s="73">
        <v>43100</v>
      </c>
      <c r="AE192" s="70" t="s">
        <v>57</v>
      </c>
      <c r="AF192" s="71">
        <v>0</v>
      </c>
      <c r="AG192" s="71">
        <v>0</v>
      </c>
      <c r="AH192" s="32">
        <f t="shared" si="24"/>
        <v>400</v>
      </c>
      <c r="AI192" s="71">
        <v>0</v>
      </c>
      <c r="AJ192" s="33">
        <f t="shared" si="25"/>
        <v>0</v>
      </c>
      <c r="AK192" s="69">
        <f t="shared" si="26"/>
        <v>932600</v>
      </c>
      <c r="AL192" s="69">
        <f t="shared" si="27"/>
        <v>0</v>
      </c>
      <c r="AM192" s="70" t="s">
        <v>72</v>
      </c>
      <c r="AN192" s="70" t="s">
        <v>59</v>
      </c>
      <c r="AO192" s="70" t="s">
        <v>85</v>
      </c>
    </row>
    <row r="193" spans="1:41" x14ac:dyDescent="0.25">
      <c r="A193" s="70" t="s">
        <v>126</v>
      </c>
      <c r="B193" s="70">
        <v>2017</v>
      </c>
      <c r="C193" s="70" t="s">
        <v>71</v>
      </c>
      <c r="D193" s="70" t="s">
        <v>71</v>
      </c>
      <c r="E193" s="70" t="s">
        <v>96</v>
      </c>
      <c r="F193" s="70">
        <v>6013</v>
      </c>
      <c r="G193" s="70" t="s">
        <v>200</v>
      </c>
      <c r="H193" s="71">
        <v>83</v>
      </c>
      <c r="I193" s="71">
        <v>0</v>
      </c>
      <c r="J193" s="71">
        <v>0</v>
      </c>
      <c r="K193" s="71">
        <v>82</v>
      </c>
      <c r="L193" s="71">
        <v>0</v>
      </c>
      <c r="M193" s="71">
        <v>0</v>
      </c>
      <c r="N193" s="71">
        <v>0</v>
      </c>
      <c r="O193" s="71">
        <v>0</v>
      </c>
      <c r="P193" s="71">
        <v>0</v>
      </c>
      <c r="Q193" s="71">
        <v>0</v>
      </c>
      <c r="R193" s="71">
        <v>0</v>
      </c>
      <c r="S193" s="71">
        <v>0</v>
      </c>
      <c r="T193" s="68">
        <f t="shared" si="19"/>
        <v>165</v>
      </c>
      <c r="U193" s="71">
        <v>0</v>
      </c>
      <c r="V193" s="33">
        <f t="shared" si="20"/>
        <v>0</v>
      </c>
      <c r="W193" s="69">
        <f t="shared" si="21"/>
        <v>1148202</v>
      </c>
      <c r="X193" s="69">
        <f t="shared" si="22"/>
        <v>0</v>
      </c>
      <c r="Y193" s="70" t="s">
        <v>188</v>
      </c>
      <c r="Z193" s="72">
        <v>6958.8</v>
      </c>
      <c r="AA193" s="70" t="s">
        <v>127</v>
      </c>
      <c r="AB193" s="68">
        <f t="shared" si="23"/>
        <v>-165</v>
      </c>
      <c r="AC193" s="73">
        <v>42685</v>
      </c>
      <c r="AD193" s="73">
        <v>43018</v>
      </c>
      <c r="AE193" s="70" t="s">
        <v>57</v>
      </c>
      <c r="AF193" s="71">
        <v>0</v>
      </c>
      <c r="AG193" s="71">
        <v>0</v>
      </c>
      <c r="AH193" s="32">
        <f t="shared" si="24"/>
        <v>165</v>
      </c>
      <c r="AI193" s="71">
        <v>0</v>
      </c>
      <c r="AJ193" s="33">
        <f t="shared" si="25"/>
        <v>0</v>
      </c>
      <c r="AK193" s="69">
        <f t="shared" si="26"/>
        <v>1148202</v>
      </c>
      <c r="AL193" s="69">
        <f t="shared" si="27"/>
        <v>0</v>
      </c>
      <c r="AM193" s="70" t="s">
        <v>72</v>
      </c>
      <c r="AN193" s="70" t="s">
        <v>59</v>
      </c>
      <c r="AO193" s="70" t="s">
        <v>85</v>
      </c>
    </row>
    <row r="194" spans="1:41" x14ac:dyDescent="0.25">
      <c r="A194" s="70" t="s">
        <v>178</v>
      </c>
      <c r="B194" s="70">
        <v>2017</v>
      </c>
      <c r="C194" s="70" t="s">
        <v>71</v>
      </c>
      <c r="D194" s="70" t="s">
        <v>71</v>
      </c>
      <c r="E194" s="70" t="s">
        <v>96</v>
      </c>
      <c r="F194" s="70">
        <v>6013</v>
      </c>
      <c r="G194" s="70" t="s">
        <v>200</v>
      </c>
      <c r="H194" s="71">
        <v>0</v>
      </c>
      <c r="I194" s="71">
        <v>0</v>
      </c>
      <c r="J194" s="71">
        <v>0</v>
      </c>
      <c r="K194" s="71">
        <v>0</v>
      </c>
      <c r="L194" s="71">
        <v>0</v>
      </c>
      <c r="M194" s="71">
        <v>0</v>
      </c>
      <c r="N194" s="71">
        <v>0</v>
      </c>
      <c r="O194" s="71">
        <v>0</v>
      </c>
      <c r="P194" s="71">
        <v>200</v>
      </c>
      <c r="Q194" s="71">
        <v>0</v>
      </c>
      <c r="R194" s="71">
        <v>0</v>
      </c>
      <c r="S194" s="71">
        <v>0</v>
      </c>
      <c r="T194" s="68">
        <f t="shared" si="19"/>
        <v>200</v>
      </c>
      <c r="U194" s="71">
        <v>0</v>
      </c>
      <c r="V194" s="33">
        <f t="shared" si="20"/>
        <v>0</v>
      </c>
      <c r="W194" s="69">
        <f t="shared" si="21"/>
        <v>1335600</v>
      </c>
      <c r="X194" s="69">
        <f t="shared" si="22"/>
        <v>0</v>
      </c>
      <c r="Y194" s="70" t="s">
        <v>188</v>
      </c>
      <c r="Z194" s="72">
        <v>6678</v>
      </c>
      <c r="AA194" s="70" t="s">
        <v>178</v>
      </c>
      <c r="AB194" s="68">
        <f t="shared" si="23"/>
        <v>-200</v>
      </c>
      <c r="AC194" s="73">
        <v>42986</v>
      </c>
      <c r="AD194" s="73">
        <v>43100</v>
      </c>
      <c r="AE194" s="70" t="s">
        <v>57</v>
      </c>
      <c r="AF194" s="71">
        <v>0</v>
      </c>
      <c r="AG194" s="71">
        <v>0</v>
      </c>
      <c r="AH194" s="32">
        <f t="shared" si="24"/>
        <v>200</v>
      </c>
      <c r="AI194" s="71">
        <v>0</v>
      </c>
      <c r="AJ194" s="33">
        <f t="shared" si="25"/>
        <v>0</v>
      </c>
      <c r="AK194" s="69">
        <f t="shared" si="26"/>
        <v>1335600</v>
      </c>
      <c r="AL194" s="69">
        <f t="shared" si="27"/>
        <v>0</v>
      </c>
      <c r="AM194" s="70" t="s">
        <v>72</v>
      </c>
      <c r="AN194" s="70" t="s">
        <v>59</v>
      </c>
      <c r="AO194" s="70" t="s">
        <v>85</v>
      </c>
    </row>
    <row r="195" spans="1:41" x14ac:dyDescent="0.25">
      <c r="A195" s="70" t="s">
        <v>126</v>
      </c>
      <c r="B195" s="70">
        <v>2017</v>
      </c>
      <c r="C195" s="70" t="s">
        <v>71</v>
      </c>
      <c r="D195" s="70" t="s">
        <v>71</v>
      </c>
      <c r="E195" s="70" t="s">
        <v>114</v>
      </c>
      <c r="F195" s="70">
        <v>5452</v>
      </c>
      <c r="G195" s="70" t="s">
        <v>221</v>
      </c>
      <c r="H195" s="71">
        <v>5</v>
      </c>
      <c r="I195" s="71">
        <v>0</v>
      </c>
      <c r="J195" s="71">
        <v>0</v>
      </c>
      <c r="K195" s="71">
        <v>4</v>
      </c>
      <c r="L195" s="71">
        <v>0</v>
      </c>
      <c r="M195" s="71">
        <v>0</v>
      </c>
      <c r="N195" s="71">
        <v>0</v>
      </c>
      <c r="O195" s="71">
        <v>0</v>
      </c>
      <c r="P195" s="71">
        <v>0</v>
      </c>
      <c r="Q195" s="71">
        <v>0</v>
      </c>
      <c r="R195" s="71">
        <v>0</v>
      </c>
      <c r="S195" s="71">
        <v>0</v>
      </c>
      <c r="T195" s="68">
        <f t="shared" ref="T195:T258" si="28">SUM(H195:S195)</f>
        <v>9</v>
      </c>
      <c r="U195" s="71">
        <v>0</v>
      </c>
      <c r="V195" s="33">
        <f t="shared" ref="V195:V258" si="29">IF(ISERROR(T195/U195),0,(T195/U195))</f>
        <v>0</v>
      </c>
      <c r="W195" s="69">
        <f t="shared" ref="W195:W224" si="30">T195*Z195</f>
        <v>122342.22</v>
      </c>
      <c r="X195" s="69">
        <f t="shared" ref="X195:X224" si="31">U195*Z195</f>
        <v>0</v>
      </c>
      <c r="Y195" s="70" t="s">
        <v>188</v>
      </c>
      <c r="Z195" s="72">
        <v>13593.58</v>
      </c>
      <c r="AA195" s="70" t="s">
        <v>127</v>
      </c>
      <c r="AB195" s="68">
        <f t="shared" ref="AB195:AB224" si="32">U195-T195</f>
        <v>-9</v>
      </c>
      <c r="AC195" s="73">
        <v>42685</v>
      </c>
      <c r="AD195" s="73">
        <v>43018</v>
      </c>
      <c r="AE195" s="70" t="s">
        <v>57</v>
      </c>
      <c r="AF195" s="71">
        <v>0</v>
      </c>
      <c r="AG195" s="71">
        <v>0</v>
      </c>
      <c r="AH195" s="32">
        <f t="shared" ref="AH195:AH258" si="33">T195+AF195+AG195</f>
        <v>9</v>
      </c>
      <c r="AI195" s="71">
        <v>0</v>
      </c>
      <c r="AJ195" s="33">
        <f t="shared" ref="AJ195:AJ258" si="34">IF(ISERROR(AH195/AI195),0,(AH195/AI195))</f>
        <v>0</v>
      </c>
      <c r="AK195" s="69">
        <f t="shared" ref="AK195:AK224" si="35">AH195*Z195</f>
        <v>122342.22</v>
      </c>
      <c r="AL195" s="69">
        <f t="shared" ref="AL195:AL224" si="36">AI195*Z195</f>
        <v>0</v>
      </c>
      <c r="AM195" s="70" t="s">
        <v>72</v>
      </c>
      <c r="AN195" s="70" t="s">
        <v>59</v>
      </c>
      <c r="AO195" s="70" t="s">
        <v>85</v>
      </c>
    </row>
    <row r="196" spans="1:41" x14ac:dyDescent="0.25">
      <c r="A196" s="70" t="s">
        <v>126</v>
      </c>
      <c r="B196" s="70">
        <v>2017</v>
      </c>
      <c r="C196" s="70" t="s">
        <v>71</v>
      </c>
      <c r="D196" s="70" t="s">
        <v>71</v>
      </c>
      <c r="E196" s="70" t="s">
        <v>114</v>
      </c>
      <c r="F196" s="70">
        <v>5613</v>
      </c>
      <c r="G196" s="70" t="s">
        <v>194</v>
      </c>
      <c r="H196" s="71">
        <v>125</v>
      </c>
      <c r="I196" s="71">
        <v>0</v>
      </c>
      <c r="J196" s="71">
        <v>0</v>
      </c>
      <c r="K196" s="71">
        <v>125</v>
      </c>
      <c r="L196" s="71">
        <v>0</v>
      </c>
      <c r="M196" s="71">
        <v>0</v>
      </c>
      <c r="N196" s="71">
        <v>0</v>
      </c>
      <c r="O196" s="71">
        <v>0</v>
      </c>
      <c r="P196" s="71">
        <v>0</v>
      </c>
      <c r="Q196" s="71">
        <v>0</v>
      </c>
      <c r="R196" s="71">
        <v>0</v>
      </c>
      <c r="S196" s="71">
        <v>0</v>
      </c>
      <c r="T196" s="68">
        <f t="shared" si="28"/>
        <v>250</v>
      </c>
      <c r="U196" s="71">
        <v>0</v>
      </c>
      <c r="V196" s="33">
        <f t="shared" si="29"/>
        <v>0</v>
      </c>
      <c r="W196" s="69">
        <f t="shared" si="30"/>
        <v>913900</v>
      </c>
      <c r="X196" s="69">
        <f t="shared" si="31"/>
        <v>0</v>
      </c>
      <c r="Y196" s="70" t="s">
        <v>188</v>
      </c>
      <c r="Z196" s="72">
        <v>3655.6</v>
      </c>
      <c r="AA196" s="70" t="s">
        <v>127</v>
      </c>
      <c r="AB196" s="68">
        <f t="shared" si="32"/>
        <v>-250</v>
      </c>
      <c r="AC196" s="73">
        <v>42685</v>
      </c>
      <c r="AD196" s="73">
        <v>43018</v>
      </c>
      <c r="AE196" s="70" t="s">
        <v>57</v>
      </c>
      <c r="AF196" s="71">
        <v>0</v>
      </c>
      <c r="AG196" s="71">
        <v>0</v>
      </c>
      <c r="AH196" s="32">
        <f t="shared" si="33"/>
        <v>250</v>
      </c>
      <c r="AI196" s="71">
        <v>0</v>
      </c>
      <c r="AJ196" s="33">
        <f t="shared" si="34"/>
        <v>0</v>
      </c>
      <c r="AK196" s="69">
        <f t="shared" si="35"/>
        <v>913900</v>
      </c>
      <c r="AL196" s="69">
        <f t="shared" si="36"/>
        <v>0</v>
      </c>
      <c r="AM196" s="70" t="s">
        <v>72</v>
      </c>
      <c r="AN196" s="70" t="s">
        <v>59</v>
      </c>
      <c r="AO196" s="70" t="s">
        <v>85</v>
      </c>
    </row>
    <row r="197" spans="1:41" x14ac:dyDescent="0.25">
      <c r="A197" s="70" t="s">
        <v>178</v>
      </c>
      <c r="B197" s="70">
        <v>2017</v>
      </c>
      <c r="C197" s="70" t="s">
        <v>71</v>
      </c>
      <c r="D197" s="70" t="s">
        <v>71</v>
      </c>
      <c r="E197" s="70" t="s">
        <v>114</v>
      </c>
      <c r="F197" s="70">
        <v>5613</v>
      </c>
      <c r="G197" s="70" t="s">
        <v>194</v>
      </c>
      <c r="H197" s="71">
        <v>0</v>
      </c>
      <c r="I197" s="71">
        <v>0</v>
      </c>
      <c r="J197" s="71">
        <v>0</v>
      </c>
      <c r="K197" s="71">
        <v>0</v>
      </c>
      <c r="L197" s="71">
        <v>0</v>
      </c>
      <c r="M197" s="71">
        <v>0</v>
      </c>
      <c r="N197" s="71">
        <v>0</v>
      </c>
      <c r="O197" s="71">
        <v>0</v>
      </c>
      <c r="P197" s="71">
        <v>400</v>
      </c>
      <c r="Q197" s="71">
        <v>0</v>
      </c>
      <c r="R197" s="71">
        <v>0</v>
      </c>
      <c r="S197" s="71">
        <v>0</v>
      </c>
      <c r="T197" s="68">
        <f t="shared" si="28"/>
        <v>400</v>
      </c>
      <c r="U197" s="71">
        <v>0</v>
      </c>
      <c r="V197" s="33">
        <f t="shared" si="29"/>
        <v>0</v>
      </c>
      <c r="W197" s="69">
        <f t="shared" si="30"/>
        <v>1462240</v>
      </c>
      <c r="X197" s="69">
        <f t="shared" si="31"/>
        <v>0</v>
      </c>
      <c r="Y197" s="70" t="s">
        <v>188</v>
      </c>
      <c r="Z197" s="72">
        <v>3655.6</v>
      </c>
      <c r="AA197" s="70" t="s">
        <v>178</v>
      </c>
      <c r="AB197" s="68">
        <f t="shared" si="32"/>
        <v>-400</v>
      </c>
      <c r="AC197" s="73">
        <v>42986</v>
      </c>
      <c r="AD197" s="73">
        <v>43100</v>
      </c>
      <c r="AE197" s="70" t="s">
        <v>57</v>
      </c>
      <c r="AF197" s="71">
        <v>0</v>
      </c>
      <c r="AG197" s="71">
        <v>0</v>
      </c>
      <c r="AH197" s="32">
        <f t="shared" si="33"/>
        <v>400</v>
      </c>
      <c r="AI197" s="71">
        <v>0</v>
      </c>
      <c r="AJ197" s="33">
        <f t="shared" si="34"/>
        <v>0</v>
      </c>
      <c r="AK197" s="69">
        <f t="shared" si="35"/>
        <v>1462240</v>
      </c>
      <c r="AL197" s="69">
        <f t="shared" si="36"/>
        <v>0</v>
      </c>
      <c r="AM197" s="70" t="s">
        <v>72</v>
      </c>
      <c r="AN197" s="70" t="s">
        <v>59</v>
      </c>
      <c r="AO197" s="70" t="s">
        <v>85</v>
      </c>
    </row>
    <row r="198" spans="1:41" x14ac:dyDescent="0.25">
      <c r="A198" s="70" t="s">
        <v>126</v>
      </c>
      <c r="B198" s="70">
        <v>2017</v>
      </c>
      <c r="C198" s="70" t="s">
        <v>71</v>
      </c>
      <c r="D198" s="70" t="s">
        <v>71</v>
      </c>
      <c r="E198" s="70" t="s">
        <v>71</v>
      </c>
      <c r="F198" s="70">
        <v>5452</v>
      </c>
      <c r="G198" s="70" t="s">
        <v>221</v>
      </c>
      <c r="H198" s="71">
        <v>0</v>
      </c>
      <c r="I198" s="71">
        <v>0</v>
      </c>
      <c r="J198" s="71">
        <v>0</v>
      </c>
      <c r="K198" s="71">
        <v>0</v>
      </c>
      <c r="L198" s="71">
        <v>0</v>
      </c>
      <c r="M198" s="71">
        <v>0</v>
      </c>
      <c r="N198" s="71">
        <v>0</v>
      </c>
      <c r="O198" s="71">
        <v>0</v>
      </c>
      <c r="P198" s="71">
        <v>0</v>
      </c>
      <c r="Q198" s="71">
        <v>0</v>
      </c>
      <c r="R198" s="71">
        <v>0</v>
      </c>
      <c r="S198" s="71">
        <v>0</v>
      </c>
      <c r="T198" s="68">
        <f t="shared" si="28"/>
        <v>0</v>
      </c>
      <c r="U198" s="71">
        <v>909</v>
      </c>
      <c r="V198" s="33">
        <f t="shared" si="29"/>
        <v>0</v>
      </c>
      <c r="W198" s="69">
        <f t="shared" si="30"/>
        <v>0</v>
      </c>
      <c r="X198" s="69">
        <f t="shared" si="31"/>
        <v>12356564.220000001</v>
      </c>
      <c r="Y198" s="70" t="s">
        <v>188</v>
      </c>
      <c r="Z198" s="72">
        <v>13593.58</v>
      </c>
      <c r="AA198" s="70" t="s">
        <v>127</v>
      </c>
      <c r="AB198" s="68">
        <f t="shared" si="32"/>
        <v>909</v>
      </c>
      <c r="AC198" s="73">
        <v>42685</v>
      </c>
      <c r="AD198" s="73">
        <v>43018</v>
      </c>
      <c r="AE198" s="70" t="s">
        <v>57</v>
      </c>
      <c r="AF198" s="71">
        <v>0</v>
      </c>
      <c r="AG198" s="71">
        <v>0</v>
      </c>
      <c r="AH198" s="32">
        <f t="shared" si="33"/>
        <v>0</v>
      </c>
      <c r="AI198" s="71">
        <v>909</v>
      </c>
      <c r="AJ198" s="33">
        <f t="shared" si="34"/>
        <v>0</v>
      </c>
      <c r="AK198" s="69">
        <f t="shared" si="35"/>
        <v>0</v>
      </c>
      <c r="AL198" s="69">
        <f t="shared" si="36"/>
        <v>12356564.220000001</v>
      </c>
      <c r="AM198" s="70" t="s">
        <v>72</v>
      </c>
      <c r="AN198" s="70" t="s">
        <v>59</v>
      </c>
      <c r="AO198" s="70" t="s">
        <v>85</v>
      </c>
    </row>
    <row r="199" spans="1:41" x14ac:dyDescent="0.25">
      <c r="A199" s="70" t="s">
        <v>184</v>
      </c>
      <c r="B199" s="70">
        <v>2017</v>
      </c>
      <c r="C199" s="70" t="s">
        <v>71</v>
      </c>
      <c r="D199" s="70" t="s">
        <v>71</v>
      </c>
      <c r="E199" s="70" t="s">
        <v>71</v>
      </c>
      <c r="F199" s="70">
        <v>5613</v>
      </c>
      <c r="G199" s="70" t="s">
        <v>194</v>
      </c>
      <c r="H199" s="71">
        <v>0</v>
      </c>
      <c r="I199" s="71">
        <v>0</v>
      </c>
      <c r="J199" s="71">
        <v>0</v>
      </c>
      <c r="K199" s="71">
        <v>0</v>
      </c>
      <c r="L199" s="71">
        <v>0</v>
      </c>
      <c r="M199" s="71">
        <v>0</v>
      </c>
      <c r="N199" s="71">
        <v>0</v>
      </c>
      <c r="O199" s="71">
        <v>0</v>
      </c>
      <c r="P199" s="71">
        <v>0</v>
      </c>
      <c r="Q199" s="71">
        <v>3</v>
      </c>
      <c r="R199" s="71">
        <v>0</v>
      </c>
      <c r="S199" s="71">
        <v>0</v>
      </c>
      <c r="T199" s="68">
        <f t="shared" si="28"/>
        <v>3</v>
      </c>
      <c r="U199" s="71">
        <v>3</v>
      </c>
      <c r="V199" s="33">
        <f t="shared" si="29"/>
        <v>1</v>
      </c>
      <c r="W199" s="69">
        <f t="shared" si="30"/>
        <v>10966.8</v>
      </c>
      <c r="X199" s="69">
        <f t="shared" si="31"/>
        <v>10966.8</v>
      </c>
      <c r="Y199" s="70" t="s">
        <v>188</v>
      </c>
      <c r="Z199" s="72">
        <v>3655.6</v>
      </c>
      <c r="AA199" s="70" t="s">
        <v>184</v>
      </c>
      <c r="AB199" s="68">
        <f t="shared" si="32"/>
        <v>0</v>
      </c>
      <c r="AC199" s="73">
        <v>43012</v>
      </c>
      <c r="AD199" s="73">
        <v>43043</v>
      </c>
      <c r="AE199" s="70" t="s">
        <v>57</v>
      </c>
      <c r="AF199" s="71">
        <v>0</v>
      </c>
      <c r="AG199" s="71">
        <v>0</v>
      </c>
      <c r="AH199" s="32">
        <f t="shared" si="33"/>
        <v>3</v>
      </c>
      <c r="AI199" s="71">
        <v>3</v>
      </c>
      <c r="AJ199" s="33">
        <f t="shared" si="34"/>
        <v>1</v>
      </c>
      <c r="AK199" s="69">
        <f t="shared" si="35"/>
        <v>10966.8</v>
      </c>
      <c r="AL199" s="69">
        <f t="shared" si="36"/>
        <v>10966.8</v>
      </c>
      <c r="AM199" s="70" t="s">
        <v>72</v>
      </c>
      <c r="AN199" s="70" t="s">
        <v>59</v>
      </c>
      <c r="AO199" s="70" t="s">
        <v>85</v>
      </c>
    </row>
    <row r="200" spans="1:41" x14ac:dyDescent="0.25">
      <c r="A200" s="70" t="s">
        <v>126</v>
      </c>
      <c r="B200" s="70">
        <v>2017</v>
      </c>
      <c r="C200" s="70" t="s">
        <v>71</v>
      </c>
      <c r="D200" s="70" t="s">
        <v>71</v>
      </c>
      <c r="E200" s="70" t="s">
        <v>71</v>
      </c>
      <c r="F200" s="70">
        <v>5613</v>
      </c>
      <c r="G200" s="70" t="s">
        <v>194</v>
      </c>
      <c r="H200" s="71">
        <v>63</v>
      </c>
      <c r="I200" s="71">
        <v>0</v>
      </c>
      <c r="J200" s="71">
        <v>0</v>
      </c>
      <c r="K200" s="71">
        <v>62</v>
      </c>
      <c r="L200" s="71">
        <v>-125</v>
      </c>
      <c r="M200" s="71">
        <v>0</v>
      </c>
      <c r="N200" s="71">
        <v>0</v>
      </c>
      <c r="O200" s="71">
        <v>0</v>
      </c>
      <c r="P200" s="71">
        <v>0</v>
      </c>
      <c r="Q200" s="71">
        <v>0</v>
      </c>
      <c r="R200" s="71">
        <v>0</v>
      </c>
      <c r="S200" s="71">
        <v>0</v>
      </c>
      <c r="T200" s="68">
        <f t="shared" si="28"/>
        <v>0</v>
      </c>
      <c r="U200" s="71">
        <v>865</v>
      </c>
      <c r="V200" s="33">
        <f t="shared" si="29"/>
        <v>0</v>
      </c>
      <c r="W200" s="69">
        <f t="shared" si="30"/>
        <v>0</v>
      </c>
      <c r="X200" s="69">
        <f t="shared" si="31"/>
        <v>3162094</v>
      </c>
      <c r="Y200" s="70" t="s">
        <v>188</v>
      </c>
      <c r="Z200" s="72">
        <v>3655.6</v>
      </c>
      <c r="AA200" s="70" t="s">
        <v>127</v>
      </c>
      <c r="AB200" s="68">
        <f t="shared" si="32"/>
        <v>865</v>
      </c>
      <c r="AC200" s="73">
        <v>42685</v>
      </c>
      <c r="AD200" s="73">
        <v>43018</v>
      </c>
      <c r="AE200" s="70" t="s">
        <v>57</v>
      </c>
      <c r="AF200" s="71">
        <v>0</v>
      </c>
      <c r="AG200" s="71">
        <v>0</v>
      </c>
      <c r="AH200" s="32">
        <f t="shared" si="33"/>
        <v>0</v>
      </c>
      <c r="AI200" s="71">
        <v>865</v>
      </c>
      <c r="AJ200" s="33">
        <f t="shared" si="34"/>
        <v>0</v>
      </c>
      <c r="AK200" s="69">
        <f t="shared" si="35"/>
        <v>0</v>
      </c>
      <c r="AL200" s="69">
        <f t="shared" si="36"/>
        <v>3162094</v>
      </c>
      <c r="AM200" s="70" t="s">
        <v>72</v>
      </c>
      <c r="AN200" s="70" t="s">
        <v>59</v>
      </c>
      <c r="AO200" s="70" t="s">
        <v>85</v>
      </c>
    </row>
    <row r="201" spans="1:41" x14ac:dyDescent="0.25">
      <c r="A201" s="70" t="s">
        <v>178</v>
      </c>
      <c r="B201" s="70">
        <v>2017</v>
      </c>
      <c r="C201" s="70" t="s">
        <v>71</v>
      </c>
      <c r="D201" s="70" t="s">
        <v>71</v>
      </c>
      <c r="E201" s="70" t="s">
        <v>71</v>
      </c>
      <c r="F201" s="70">
        <v>5613</v>
      </c>
      <c r="G201" s="70" t="s">
        <v>194</v>
      </c>
      <c r="H201" s="71">
        <v>0</v>
      </c>
      <c r="I201" s="71">
        <v>0</v>
      </c>
      <c r="J201" s="71">
        <v>0</v>
      </c>
      <c r="K201" s="71">
        <v>0</v>
      </c>
      <c r="L201" s="71">
        <v>0</v>
      </c>
      <c r="M201" s="71">
        <v>0</v>
      </c>
      <c r="N201" s="71">
        <v>0</v>
      </c>
      <c r="O201" s="71">
        <v>0</v>
      </c>
      <c r="P201" s="71">
        <v>0</v>
      </c>
      <c r="Q201" s="71">
        <v>0</v>
      </c>
      <c r="R201" s="71">
        <v>0</v>
      </c>
      <c r="S201" s="71">
        <v>0</v>
      </c>
      <c r="T201" s="68">
        <f t="shared" si="28"/>
        <v>0</v>
      </c>
      <c r="U201" s="71">
        <v>2006</v>
      </c>
      <c r="V201" s="33">
        <f t="shared" si="29"/>
        <v>0</v>
      </c>
      <c r="W201" s="69">
        <f t="shared" si="30"/>
        <v>0</v>
      </c>
      <c r="X201" s="69">
        <f t="shared" si="31"/>
        <v>7333133.5999999996</v>
      </c>
      <c r="Y201" s="70" t="s">
        <v>188</v>
      </c>
      <c r="Z201" s="72">
        <v>3655.6</v>
      </c>
      <c r="AA201" s="70" t="s">
        <v>178</v>
      </c>
      <c r="AB201" s="68">
        <f t="shared" si="32"/>
        <v>2006</v>
      </c>
      <c r="AC201" s="73">
        <v>42986</v>
      </c>
      <c r="AD201" s="73">
        <v>43100</v>
      </c>
      <c r="AE201" s="70" t="s">
        <v>57</v>
      </c>
      <c r="AF201" s="71">
        <v>0</v>
      </c>
      <c r="AG201" s="71">
        <v>0</v>
      </c>
      <c r="AH201" s="32">
        <f t="shared" si="33"/>
        <v>0</v>
      </c>
      <c r="AI201" s="71">
        <v>2006</v>
      </c>
      <c r="AJ201" s="33">
        <f t="shared" si="34"/>
        <v>0</v>
      </c>
      <c r="AK201" s="69">
        <f t="shared" si="35"/>
        <v>0</v>
      </c>
      <c r="AL201" s="69">
        <f t="shared" si="36"/>
        <v>7333133.5999999996</v>
      </c>
      <c r="AM201" s="70" t="s">
        <v>72</v>
      </c>
      <c r="AN201" s="70" t="s">
        <v>59</v>
      </c>
      <c r="AO201" s="70" t="s">
        <v>85</v>
      </c>
    </row>
    <row r="202" spans="1:41" x14ac:dyDescent="0.25">
      <c r="A202" s="70" t="s">
        <v>287</v>
      </c>
      <c r="B202" s="70">
        <v>2017</v>
      </c>
      <c r="C202" s="70" t="s">
        <v>71</v>
      </c>
      <c r="D202" s="70" t="s">
        <v>71</v>
      </c>
      <c r="E202" s="70" t="s">
        <v>71</v>
      </c>
      <c r="F202" s="70">
        <v>5624</v>
      </c>
      <c r="G202" s="70" t="s">
        <v>191</v>
      </c>
      <c r="H202" s="71">
        <v>0</v>
      </c>
      <c r="I202" s="71">
        <v>0</v>
      </c>
      <c r="J202" s="71">
        <v>0</v>
      </c>
      <c r="K202" s="71">
        <v>0</v>
      </c>
      <c r="L202" s="71">
        <v>0</v>
      </c>
      <c r="M202" s="71">
        <v>0</v>
      </c>
      <c r="N202" s="71">
        <v>0</v>
      </c>
      <c r="O202" s="71">
        <v>0</v>
      </c>
      <c r="P202" s="71">
        <v>0</v>
      </c>
      <c r="Q202" s="71">
        <v>0</v>
      </c>
      <c r="R202" s="71">
        <v>4</v>
      </c>
      <c r="S202" s="71">
        <v>0</v>
      </c>
      <c r="T202" s="68">
        <f t="shared" si="28"/>
        <v>4</v>
      </c>
      <c r="U202" s="71">
        <v>4</v>
      </c>
      <c r="V202" s="33">
        <f t="shared" si="29"/>
        <v>1</v>
      </c>
      <c r="W202" s="69">
        <f t="shared" si="30"/>
        <v>29372</v>
      </c>
      <c r="X202" s="69">
        <f t="shared" si="31"/>
        <v>29372</v>
      </c>
      <c r="Y202" s="70" t="s">
        <v>188</v>
      </c>
      <c r="Z202" s="72">
        <v>7343</v>
      </c>
      <c r="AA202" s="70" t="s">
        <v>287</v>
      </c>
      <c r="AB202" s="68">
        <f t="shared" si="32"/>
        <v>0</v>
      </c>
      <c r="AC202" s="73">
        <v>43014</v>
      </c>
      <c r="AD202" s="73">
        <v>43069</v>
      </c>
      <c r="AE202" s="70" t="s">
        <v>57</v>
      </c>
      <c r="AF202" s="71">
        <v>0</v>
      </c>
      <c r="AG202" s="71">
        <v>0</v>
      </c>
      <c r="AH202" s="32">
        <f t="shared" si="33"/>
        <v>4</v>
      </c>
      <c r="AI202" s="71">
        <v>4</v>
      </c>
      <c r="AJ202" s="33">
        <f t="shared" si="34"/>
        <v>1</v>
      </c>
      <c r="AK202" s="69">
        <f t="shared" si="35"/>
        <v>29372</v>
      </c>
      <c r="AL202" s="69">
        <f t="shared" si="36"/>
        <v>29372</v>
      </c>
      <c r="AM202" s="70" t="s">
        <v>72</v>
      </c>
      <c r="AN202" s="70" t="s">
        <v>82</v>
      </c>
      <c r="AO202" s="70" t="s">
        <v>85</v>
      </c>
    </row>
    <row r="203" spans="1:41" x14ac:dyDescent="0.25">
      <c r="A203" s="70" t="s">
        <v>126</v>
      </c>
      <c r="B203" s="70">
        <v>2017</v>
      </c>
      <c r="C203" s="70" t="s">
        <v>71</v>
      </c>
      <c r="D203" s="70" t="s">
        <v>71</v>
      </c>
      <c r="E203" s="70" t="s">
        <v>71</v>
      </c>
      <c r="F203" s="70">
        <v>5624</v>
      </c>
      <c r="G203" s="70" t="s">
        <v>191</v>
      </c>
      <c r="H203" s="71">
        <v>0</v>
      </c>
      <c r="I203" s="71">
        <v>0</v>
      </c>
      <c r="J203" s="71">
        <v>0</v>
      </c>
      <c r="K203" s="71">
        <v>0</v>
      </c>
      <c r="L203" s="71">
        <v>0</v>
      </c>
      <c r="M203" s="71">
        <v>0</v>
      </c>
      <c r="N203" s="71">
        <v>0</v>
      </c>
      <c r="O203" s="71">
        <v>0</v>
      </c>
      <c r="P203" s="71">
        <v>0</v>
      </c>
      <c r="Q203" s="71">
        <v>0</v>
      </c>
      <c r="R203" s="71">
        <v>0</v>
      </c>
      <c r="S203" s="71">
        <v>0</v>
      </c>
      <c r="T203" s="68">
        <f t="shared" si="28"/>
        <v>0</v>
      </c>
      <c r="U203" s="71">
        <v>100</v>
      </c>
      <c r="V203" s="33">
        <f t="shared" si="29"/>
        <v>0</v>
      </c>
      <c r="W203" s="69">
        <f t="shared" si="30"/>
        <v>0</v>
      </c>
      <c r="X203" s="69">
        <f t="shared" si="31"/>
        <v>734300</v>
      </c>
      <c r="Y203" s="70" t="s">
        <v>188</v>
      </c>
      <c r="Z203" s="72">
        <v>7343</v>
      </c>
      <c r="AA203" s="70" t="s">
        <v>127</v>
      </c>
      <c r="AB203" s="68">
        <f t="shared" si="32"/>
        <v>100</v>
      </c>
      <c r="AC203" s="73">
        <v>42685</v>
      </c>
      <c r="AD203" s="73">
        <v>43018</v>
      </c>
      <c r="AE203" s="70" t="s">
        <v>57</v>
      </c>
      <c r="AF203" s="71">
        <v>0</v>
      </c>
      <c r="AG203" s="71">
        <v>0</v>
      </c>
      <c r="AH203" s="32">
        <f t="shared" si="33"/>
        <v>0</v>
      </c>
      <c r="AI203" s="71">
        <v>100</v>
      </c>
      <c r="AJ203" s="33">
        <f t="shared" si="34"/>
        <v>0</v>
      </c>
      <c r="AK203" s="69">
        <f t="shared" si="35"/>
        <v>0</v>
      </c>
      <c r="AL203" s="69">
        <f t="shared" si="36"/>
        <v>734300</v>
      </c>
      <c r="AM203" s="70" t="s">
        <v>72</v>
      </c>
      <c r="AN203" s="70" t="s">
        <v>59</v>
      </c>
      <c r="AO203" s="70" t="s">
        <v>85</v>
      </c>
    </row>
    <row r="204" spans="1:41" x14ac:dyDescent="0.25">
      <c r="A204" s="70" t="s">
        <v>155</v>
      </c>
      <c r="B204" s="70">
        <v>2017</v>
      </c>
      <c r="C204" s="70" t="s">
        <v>71</v>
      </c>
      <c r="D204" s="70" t="s">
        <v>71</v>
      </c>
      <c r="E204" s="70" t="s">
        <v>71</v>
      </c>
      <c r="F204" s="70">
        <v>5624</v>
      </c>
      <c r="G204" s="70" t="s">
        <v>191</v>
      </c>
      <c r="H204" s="71">
        <v>0</v>
      </c>
      <c r="I204" s="71">
        <v>0</v>
      </c>
      <c r="J204" s="71">
        <v>0</v>
      </c>
      <c r="K204" s="71">
        <v>0</v>
      </c>
      <c r="L204" s="71">
        <v>0</v>
      </c>
      <c r="M204" s="71">
        <v>0</v>
      </c>
      <c r="N204" s="71">
        <v>0</v>
      </c>
      <c r="O204" s="71">
        <v>0</v>
      </c>
      <c r="P204" s="71">
        <v>0</v>
      </c>
      <c r="Q204" s="71">
        <v>0</v>
      </c>
      <c r="R204" s="71">
        <v>0</v>
      </c>
      <c r="S204" s="71">
        <v>0</v>
      </c>
      <c r="T204" s="68">
        <f t="shared" si="28"/>
        <v>0</v>
      </c>
      <c r="U204" s="71">
        <v>100</v>
      </c>
      <c r="V204" s="33">
        <f t="shared" si="29"/>
        <v>0</v>
      </c>
      <c r="W204" s="69">
        <f t="shared" si="30"/>
        <v>0</v>
      </c>
      <c r="X204" s="69">
        <f t="shared" si="31"/>
        <v>734300</v>
      </c>
      <c r="Y204" s="70" t="s">
        <v>188</v>
      </c>
      <c r="Z204" s="72">
        <v>7343</v>
      </c>
      <c r="AA204" s="70" t="s">
        <v>155</v>
      </c>
      <c r="AB204" s="68">
        <f t="shared" si="32"/>
        <v>100</v>
      </c>
      <c r="AC204" s="73">
        <v>42971</v>
      </c>
      <c r="AD204" s="73">
        <v>43100</v>
      </c>
      <c r="AE204" s="70" t="s">
        <v>57</v>
      </c>
      <c r="AF204" s="71">
        <v>0</v>
      </c>
      <c r="AG204" s="71">
        <v>0</v>
      </c>
      <c r="AH204" s="32">
        <f t="shared" si="33"/>
        <v>0</v>
      </c>
      <c r="AI204" s="71">
        <v>100</v>
      </c>
      <c r="AJ204" s="33">
        <f t="shared" si="34"/>
        <v>0</v>
      </c>
      <c r="AK204" s="69">
        <f t="shared" si="35"/>
        <v>0</v>
      </c>
      <c r="AL204" s="69">
        <f t="shared" si="36"/>
        <v>734300</v>
      </c>
      <c r="AM204" s="70" t="s">
        <v>72</v>
      </c>
      <c r="AN204" s="70" t="s">
        <v>59</v>
      </c>
      <c r="AO204" s="70" t="s">
        <v>85</v>
      </c>
    </row>
    <row r="205" spans="1:41" x14ac:dyDescent="0.25">
      <c r="A205" s="70">
        <v>53343</v>
      </c>
      <c r="B205" s="70">
        <v>2017</v>
      </c>
      <c r="C205" s="70" t="s">
        <v>71</v>
      </c>
      <c r="D205" s="70" t="s">
        <v>71</v>
      </c>
      <c r="E205" s="70" t="s">
        <v>71</v>
      </c>
      <c r="F205" s="70">
        <v>5627</v>
      </c>
      <c r="G205" s="70" t="s">
        <v>187</v>
      </c>
      <c r="H205" s="71">
        <v>0</v>
      </c>
      <c r="I205" s="71">
        <v>0</v>
      </c>
      <c r="J205" s="71">
        <v>0</v>
      </c>
      <c r="K205" s="71">
        <v>0</v>
      </c>
      <c r="L205" s="71">
        <v>0</v>
      </c>
      <c r="M205" s="71">
        <v>0</v>
      </c>
      <c r="N205" s="71">
        <v>2</v>
      </c>
      <c r="O205" s="71">
        <v>0</v>
      </c>
      <c r="P205" s="71">
        <v>0</v>
      </c>
      <c r="Q205" s="71">
        <v>0</v>
      </c>
      <c r="R205" s="71">
        <v>0</v>
      </c>
      <c r="S205" s="71">
        <v>0</v>
      </c>
      <c r="T205" s="68">
        <f t="shared" si="28"/>
        <v>2</v>
      </c>
      <c r="U205" s="71">
        <v>2</v>
      </c>
      <c r="V205" s="33">
        <f t="shared" si="29"/>
        <v>1</v>
      </c>
      <c r="W205" s="69">
        <f t="shared" si="30"/>
        <v>5248</v>
      </c>
      <c r="X205" s="69">
        <f t="shared" si="31"/>
        <v>5248</v>
      </c>
      <c r="Y205" s="70" t="s">
        <v>188</v>
      </c>
      <c r="Z205" s="72">
        <v>2624</v>
      </c>
      <c r="AA205" s="70" t="s">
        <v>176</v>
      </c>
      <c r="AB205" s="68">
        <f t="shared" si="32"/>
        <v>0</v>
      </c>
      <c r="AC205" s="73">
        <v>42901</v>
      </c>
      <c r="AD205" s="73">
        <v>42978</v>
      </c>
      <c r="AE205" s="70" t="s">
        <v>57</v>
      </c>
      <c r="AF205" s="71">
        <v>0</v>
      </c>
      <c r="AG205" s="71">
        <v>0</v>
      </c>
      <c r="AH205" s="32">
        <f t="shared" si="33"/>
        <v>2</v>
      </c>
      <c r="AI205" s="71">
        <v>2</v>
      </c>
      <c r="AJ205" s="33">
        <f t="shared" si="34"/>
        <v>1</v>
      </c>
      <c r="AK205" s="69">
        <f t="shared" si="35"/>
        <v>5248</v>
      </c>
      <c r="AL205" s="69">
        <f t="shared" si="36"/>
        <v>5248</v>
      </c>
      <c r="AM205" s="70" t="s">
        <v>72</v>
      </c>
      <c r="AN205" s="70" t="s">
        <v>82</v>
      </c>
      <c r="AO205" s="70" t="s">
        <v>85</v>
      </c>
    </row>
    <row r="206" spans="1:41" x14ac:dyDescent="0.25">
      <c r="A206" s="70" t="s">
        <v>126</v>
      </c>
      <c r="B206" s="70">
        <v>2017</v>
      </c>
      <c r="C206" s="70" t="s">
        <v>71</v>
      </c>
      <c r="D206" s="70" t="s">
        <v>71</v>
      </c>
      <c r="E206" s="70" t="s">
        <v>71</v>
      </c>
      <c r="F206" s="70">
        <v>5627</v>
      </c>
      <c r="G206" s="70" t="s">
        <v>187</v>
      </c>
      <c r="H206" s="71">
        <v>7</v>
      </c>
      <c r="I206" s="71">
        <v>0</v>
      </c>
      <c r="J206" s="71">
        <v>0</v>
      </c>
      <c r="K206" s="71">
        <v>7</v>
      </c>
      <c r="L206" s="71">
        <v>-14</v>
      </c>
      <c r="M206" s="71">
        <v>0</v>
      </c>
      <c r="N206" s="71">
        <v>0</v>
      </c>
      <c r="O206" s="71">
        <v>0</v>
      </c>
      <c r="P206" s="71">
        <v>0</v>
      </c>
      <c r="Q206" s="71">
        <v>0</v>
      </c>
      <c r="R206" s="71">
        <v>0</v>
      </c>
      <c r="S206" s="71">
        <v>0</v>
      </c>
      <c r="T206" s="68">
        <f t="shared" si="28"/>
        <v>0</v>
      </c>
      <c r="U206" s="71">
        <v>314</v>
      </c>
      <c r="V206" s="33">
        <f t="shared" si="29"/>
        <v>0</v>
      </c>
      <c r="W206" s="69">
        <f t="shared" si="30"/>
        <v>0</v>
      </c>
      <c r="X206" s="69">
        <f t="shared" si="31"/>
        <v>823936</v>
      </c>
      <c r="Y206" s="70" t="s">
        <v>188</v>
      </c>
      <c r="Z206" s="72">
        <v>2624</v>
      </c>
      <c r="AA206" s="70" t="s">
        <v>127</v>
      </c>
      <c r="AB206" s="68">
        <f t="shared" si="32"/>
        <v>314</v>
      </c>
      <c r="AC206" s="73">
        <v>42685</v>
      </c>
      <c r="AD206" s="73">
        <v>43018</v>
      </c>
      <c r="AE206" s="70" t="s">
        <v>57</v>
      </c>
      <c r="AF206" s="71">
        <v>0</v>
      </c>
      <c r="AG206" s="71">
        <v>0</v>
      </c>
      <c r="AH206" s="32">
        <f t="shared" si="33"/>
        <v>0</v>
      </c>
      <c r="AI206" s="71">
        <v>314</v>
      </c>
      <c r="AJ206" s="33">
        <f t="shared" si="34"/>
        <v>0</v>
      </c>
      <c r="AK206" s="69">
        <f t="shared" si="35"/>
        <v>0</v>
      </c>
      <c r="AL206" s="69">
        <f t="shared" si="36"/>
        <v>823936</v>
      </c>
      <c r="AM206" s="70" t="s">
        <v>72</v>
      </c>
      <c r="AN206" s="70" t="s">
        <v>59</v>
      </c>
      <c r="AO206" s="70" t="s">
        <v>85</v>
      </c>
    </row>
    <row r="207" spans="1:41" x14ac:dyDescent="0.25">
      <c r="A207" s="70" t="s">
        <v>155</v>
      </c>
      <c r="B207" s="70">
        <v>2017</v>
      </c>
      <c r="C207" s="70" t="s">
        <v>71</v>
      </c>
      <c r="D207" s="70" t="s">
        <v>71</v>
      </c>
      <c r="E207" s="70" t="s">
        <v>71</v>
      </c>
      <c r="F207" s="70">
        <v>5627</v>
      </c>
      <c r="G207" s="70" t="s">
        <v>187</v>
      </c>
      <c r="H207" s="71">
        <v>0</v>
      </c>
      <c r="I207" s="71">
        <v>0</v>
      </c>
      <c r="J207" s="71">
        <v>0</v>
      </c>
      <c r="K207" s="71">
        <v>0</v>
      </c>
      <c r="L207" s="71">
        <v>0</v>
      </c>
      <c r="M207" s="71">
        <v>0</v>
      </c>
      <c r="N207" s="71">
        <v>0</v>
      </c>
      <c r="O207" s="71">
        <v>0</v>
      </c>
      <c r="P207" s="71">
        <v>0</v>
      </c>
      <c r="Q207" s="71">
        <v>0</v>
      </c>
      <c r="R207" s="71">
        <v>0</v>
      </c>
      <c r="S207" s="71">
        <v>0</v>
      </c>
      <c r="T207" s="68">
        <f t="shared" si="28"/>
        <v>0</v>
      </c>
      <c r="U207" s="71">
        <v>500</v>
      </c>
      <c r="V207" s="33">
        <f t="shared" si="29"/>
        <v>0</v>
      </c>
      <c r="W207" s="69">
        <f t="shared" si="30"/>
        <v>0</v>
      </c>
      <c r="X207" s="69">
        <f t="shared" si="31"/>
        <v>1312000</v>
      </c>
      <c r="Y207" s="70" t="s">
        <v>188</v>
      </c>
      <c r="Z207" s="72">
        <v>2624</v>
      </c>
      <c r="AA207" s="70" t="s">
        <v>155</v>
      </c>
      <c r="AB207" s="68">
        <f t="shared" si="32"/>
        <v>500</v>
      </c>
      <c r="AC207" s="73">
        <v>42971</v>
      </c>
      <c r="AD207" s="73">
        <v>43100</v>
      </c>
      <c r="AE207" s="70" t="s">
        <v>57</v>
      </c>
      <c r="AF207" s="71">
        <v>0</v>
      </c>
      <c r="AG207" s="71">
        <v>0</v>
      </c>
      <c r="AH207" s="32">
        <f t="shared" si="33"/>
        <v>0</v>
      </c>
      <c r="AI207" s="71">
        <v>500</v>
      </c>
      <c r="AJ207" s="33">
        <f t="shared" si="34"/>
        <v>0</v>
      </c>
      <c r="AK207" s="69">
        <f t="shared" si="35"/>
        <v>0</v>
      </c>
      <c r="AL207" s="69">
        <f t="shared" si="36"/>
        <v>1312000</v>
      </c>
      <c r="AM207" s="70" t="s">
        <v>72</v>
      </c>
      <c r="AN207" s="70" t="s">
        <v>59</v>
      </c>
      <c r="AO207" s="70" t="s">
        <v>85</v>
      </c>
    </row>
    <row r="208" spans="1:41" x14ac:dyDescent="0.25">
      <c r="A208" s="70" t="s">
        <v>126</v>
      </c>
      <c r="B208" s="70">
        <v>2017</v>
      </c>
      <c r="C208" s="70" t="s">
        <v>71</v>
      </c>
      <c r="D208" s="70" t="s">
        <v>71</v>
      </c>
      <c r="E208" s="70" t="s">
        <v>71</v>
      </c>
      <c r="F208" s="70">
        <v>5628</v>
      </c>
      <c r="G208" s="70" t="s">
        <v>219</v>
      </c>
      <c r="H208" s="71">
        <v>0</v>
      </c>
      <c r="I208" s="71">
        <v>0</v>
      </c>
      <c r="J208" s="71">
        <v>0</v>
      </c>
      <c r="K208" s="71">
        <v>0</v>
      </c>
      <c r="L208" s="71">
        <v>0</v>
      </c>
      <c r="M208" s="71">
        <v>0</v>
      </c>
      <c r="N208" s="71">
        <v>0</v>
      </c>
      <c r="O208" s="71">
        <v>0</v>
      </c>
      <c r="P208" s="71">
        <v>0</v>
      </c>
      <c r="Q208" s="71">
        <v>0</v>
      </c>
      <c r="R208" s="71">
        <v>0</v>
      </c>
      <c r="S208" s="71">
        <v>0</v>
      </c>
      <c r="T208" s="68">
        <f t="shared" si="28"/>
        <v>0</v>
      </c>
      <c r="U208" s="71">
        <v>314</v>
      </c>
      <c r="V208" s="33">
        <f t="shared" si="29"/>
        <v>0</v>
      </c>
      <c r="W208" s="69">
        <f t="shared" si="30"/>
        <v>0</v>
      </c>
      <c r="X208" s="69">
        <f t="shared" si="31"/>
        <v>1356480</v>
      </c>
      <c r="Y208" s="70" t="s">
        <v>188</v>
      </c>
      <c r="Z208" s="72">
        <v>4320</v>
      </c>
      <c r="AA208" s="70" t="s">
        <v>127</v>
      </c>
      <c r="AB208" s="68">
        <f t="shared" si="32"/>
        <v>314</v>
      </c>
      <c r="AC208" s="73">
        <v>42685</v>
      </c>
      <c r="AD208" s="73">
        <v>43018</v>
      </c>
      <c r="AE208" s="70" t="s">
        <v>57</v>
      </c>
      <c r="AF208" s="71">
        <v>0</v>
      </c>
      <c r="AG208" s="71">
        <v>0</v>
      </c>
      <c r="AH208" s="32">
        <f t="shared" si="33"/>
        <v>0</v>
      </c>
      <c r="AI208" s="71">
        <v>314</v>
      </c>
      <c r="AJ208" s="33">
        <f t="shared" si="34"/>
        <v>0</v>
      </c>
      <c r="AK208" s="69">
        <f t="shared" si="35"/>
        <v>0</v>
      </c>
      <c r="AL208" s="69">
        <f t="shared" si="36"/>
        <v>1356480</v>
      </c>
      <c r="AM208" s="70" t="s">
        <v>72</v>
      </c>
      <c r="AN208" s="70" t="s">
        <v>59</v>
      </c>
      <c r="AO208" s="70" t="s">
        <v>85</v>
      </c>
    </row>
    <row r="209" spans="1:41" x14ac:dyDescent="0.25">
      <c r="A209" s="70" t="s">
        <v>183</v>
      </c>
      <c r="B209" s="70">
        <v>2017</v>
      </c>
      <c r="C209" s="70" t="s">
        <v>71</v>
      </c>
      <c r="D209" s="70" t="s">
        <v>71</v>
      </c>
      <c r="E209" s="70" t="s">
        <v>71</v>
      </c>
      <c r="F209" s="70">
        <v>5628</v>
      </c>
      <c r="G209" s="70" t="s">
        <v>219</v>
      </c>
      <c r="H209" s="71">
        <v>0</v>
      </c>
      <c r="I209" s="71">
        <v>7</v>
      </c>
      <c r="J209" s="71">
        <v>0</v>
      </c>
      <c r="K209" s="71">
        <v>7</v>
      </c>
      <c r="L209" s="71">
        <v>-7</v>
      </c>
      <c r="M209" s="71">
        <v>0</v>
      </c>
      <c r="N209" s="71">
        <v>0</v>
      </c>
      <c r="O209" s="71">
        <v>0</v>
      </c>
      <c r="P209" s="71">
        <v>0</v>
      </c>
      <c r="Q209" s="71">
        <v>0</v>
      </c>
      <c r="R209" s="71">
        <v>0</v>
      </c>
      <c r="S209" s="71">
        <v>0</v>
      </c>
      <c r="T209" s="68">
        <f t="shared" si="28"/>
        <v>7</v>
      </c>
      <c r="U209" s="71">
        <v>314</v>
      </c>
      <c r="V209" s="33">
        <f t="shared" si="29"/>
        <v>2.2292993630573247E-2</v>
      </c>
      <c r="W209" s="69">
        <f t="shared" si="30"/>
        <v>30240</v>
      </c>
      <c r="X209" s="69">
        <f t="shared" si="31"/>
        <v>1356480</v>
      </c>
      <c r="Y209" s="70" t="s">
        <v>188</v>
      </c>
      <c r="Z209" s="72">
        <v>4320</v>
      </c>
      <c r="AA209" s="70" t="s">
        <v>183</v>
      </c>
      <c r="AB209" s="68">
        <f t="shared" si="32"/>
        <v>307</v>
      </c>
      <c r="AC209" s="73">
        <v>42783</v>
      </c>
      <c r="AD209" s="73">
        <v>43074</v>
      </c>
      <c r="AE209" s="70" t="s">
        <v>57</v>
      </c>
      <c r="AF209" s="71">
        <v>0</v>
      </c>
      <c r="AG209" s="71">
        <v>0</v>
      </c>
      <c r="AH209" s="32">
        <f t="shared" si="33"/>
        <v>7</v>
      </c>
      <c r="AI209" s="71">
        <v>314</v>
      </c>
      <c r="AJ209" s="33">
        <f t="shared" si="34"/>
        <v>2.2292993630573247E-2</v>
      </c>
      <c r="AK209" s="69">
        <f t="shared" si="35"/>
        <v>30240</v>
      </c>
      <c r="AL209" s="69">
        <f t="shared" si="36"/>
        <v>1356480</v>
      </c>
      <c r="AM209" s="70" t="s">
        <v>72</v>
      </c>
      <c r="AN209" s="70" t="s">
        <v>59</v>
      </c>
      <c r="AO209" s="70" t="s">
        <v>85</v>
      </c>
    </row>
    <row r="210" spans="1:41" x14ac:dyDescent="0.25">
      <c r="A210" s="70" t="s">
        <v>155</v>
      </c>
      <c r="B210" s="70">
        <v>2017</v>
      </c>
      <c r="C210" s="70" t="s">
        <v>71</v>
      </c>
      <c r="D210" s="70" t="s">
        <v>71</v>
      </c>
      <c r="E210" s="70" t="s">
        <v>71</v>
      </c>
      <c r="F210" s="70">
        <v>5628</v>
      </c>
      <c r="G210" s="70" t="s">
        <v>219</v>
      </c>
      <c r="H210" s="71">
        <v>0</v>
      </c>
      <c r="I210" s="71">
        <v>0</v>
      </c>
      <c r="J210" s="71">
        <v>0</v>
      </c>
      <c r="K210" s="71">
        <v>0</v>
      </c>
      <c r="L210" s="71">
        <v>0</v>
      </c>
      <c r="M210" s="71">
        <v>0</v>
      </c>
      <c r="N210" s="71">
        <v>0</v>
      </c>
      <c r="O210" s="71">
        <v>0</v>
      </c>
      <c r="P210" s="71">
        <v>0</v>
      </c>
      <c r="Q210" s="71">
        <v>0</v>
      </c>
      <c r="R210" s="71">
        <v>0</v>
      </c>
      <c r="S210" s="71">
        <v>0</v>
      </c>
      <c r="T210" s="68">
        <f t="shared" si="28"/>
        <v>0</v>
      </c>
      <c r="U210" s="71">
        <v>940</v>
      </c>
      <c r="V210" s="33">
        <f t="shared" si="29"/>
        <v>0</v>
      </c>
      <c r="W210" s="69">
        <f t="shared" si="30"/>
        <v>0</v>
      </c>
      <c r="X210" s="69">
        <f t="shared" si="31"/>
        <v>4060800</v>
      </c>
      <c r="Y210" s="70" t="s">
        <v>188</v>
      </c>
      <c r="Z210" s="72">
        <v>4320</v>
      </c>
      <c r="AA210" s="70" t="s">
        <v>155</v>
      </c>
      <c r="AB210" s="68">
        <f t="shared" si="32"/>
        <v>940</v>
      </c>
      <c r="AC210" s="73">
        <v>42971</v>
      </c>
      <c r="AD210" s="73">
        <v>43100</v>
      </c>
      <c r="AE210" s="70" t="s">
        <v>57</v>
      </c>
      <c r="AF210" s="71">
        <v>0</v>
      </c>
      <c r="AG210" s="71">
        <v>0</v>
      </c>
      <c r="AH210" s="32">
        <f t="shared" si="33"/>
        <v>0</v>
      </c>
      <c r="AI210" s="71">
        <v>940</v>
      </c>
      <c r="AJ210" s="33">
        <f t="shared" si="34"/>
        <v>0</v>
      </c>
      <c r="AK210" s="69">
        <f t="shared" si="35"/>
        <v>0</v>
      </c>
      <c r="AL210" s="69">
        <f t="shared" si="36"/>
        <v>4060800</v>
      </c>
      <c r="AM210" s="70" t="s">
        <v>72</v>
      </c>
      <c r="AN210" s="70" t="s">
        <v>59</v>
      </c>
      <c r="AO210" s="70" t="s">
        <v>85</v>
      </c>
    </row>
    <row r="211" spans="1:41" x14ac:dyDescent="0.25">
      <c r="A211" s="70" t="s">
        <v>126</v>
      </c>
      <c r="B211" s="70">
        <v>2017</v>
      </c>
      <c r="C211" s="70" t="s">
        <v>71</v>
      </c>
      <c r="D211" s="70" t="s">
        <v>71</v>
      </c>
      <c r="E211" s="70" t="s">
        <v>71</v>
      </c>
      <c r="F211" s="70">
        <v>5632</v>
      </c>
      <c r="G211" s="70" t="s">
        <v>212</v>
      </c>
      <c r="H211" s="71">
        <v>23</v>
      </c>
      <c r="I211" s="71">
        <v>0</v>
      </c>
      <c r="J211" s="71">
        <v>0</v>
      </c>
      <c r="K211" s="71">
        <v>22</v>
      </c>
      <c r="L211" s="71">
        <v>-45</v>
      </c>
      <c r="M211" s="71">
        <v>0</v>
      </c>
      <c r="N211" s="71">
        <v>0</v>
      </c>
      <c r="O211" s="71">
        <v>0</v>
      </c>
      <c r="P211" s="71">
        <v>0</v>
      </c>
      <c r="Q211" s="71">
        <v>0</v>
      </c>
      <c r="R211" s="71">
        <v>0</v>
      </c>
      <c r="S211" s="71">
        <v>0</v>
      </c>
      <c r="T211" s="68">
        <f t="shared" si="28"/>
        <v>0</v>
      </c>
      <c r="U211" s="71">
        <v>145</v>
      </c>
      <c r="V211" s="33">
        <f t="shared" si="29"/>
        <v>0</v>
      </c>
      <c r="W211" s="69">
        <f t="shared" si="30"/>
        <v>0</v>
      </c>
      <c r="X211" s="69">
        <f t="shared" si="31"/>
        <v>642060</v>
      </c>
      <c r="Y211" s="70" t="s">
        <v>188</v>
      </c>
      <c r="Z211" s="72">
        <v>4428</v>
      </c>
      <c r="AA211" s="70" t="s">
        <v>127</v>
      </c>
      <c r="AB211" s="68">
        <f t="shared" si="32"/>
        <v>145</v>
      </c>
      <c r="AC211" s="73">
        <v>42685</v>
      </c>
      <c r="AD211" s="73">
        <v>43018</v>
      </c>
      <c r="AE211" s="70" t="s">
        <v>57</v>
      </c>
      <c r="AF211" s="71">
        <v>0</v>
      </c>
      <c r="AG211" s="71">
        <v>0</v>
      </c>
      <c r="AH211" s="32">
        <f t="shared" si="33"/>
        <v>0</v>
      </c>
      <c r="AI211" s="71">
        <v>145</v>
      </c>
      <c r="AJ211" s="33">
        <f t="shared" si="34"/>
        <v>0</v>
      </c>
      <c r="AK211" s="69">
        <f t="shared" si="35"/>
        <v>0</v>
      </c>
      <c r="AL211" s="69">
        <f t="shared" si="36"/>
        <v>642060</v>
      </c>
      <c r="AM211" s="70" t="s">
        <v>72</v>
      </c>
      <c r="AN211" s="70" t="s">
        <v>59</v>
      </c>
      <c r="AO211" s="70" t="s">
        <v>85</v>
      </c>
    </row>
    <row r="212" spans="1:41" x14ac:dyDescent="0.25">
      <c r="A212" s="70" t="s">
        <v>155</v>
      </c>
      <c r="B212" s="70">
        <v>2017</v>
      </c>
      <c r="C212" s="70" t="s">
        <v>71</v>
      </c>
      <c r="D212" s="70" t="s">
        <v>71</v>
      </c>
      <c r="E212" s="70" t="s">
        <v>71</v>
      </c>
      <c r="F212" s="70">
        <v>5632</v>
      </c>
      <c r="G212" s="70" t="s">
        <v>212</v>
      </c>
      <c r="H212" s="71">
        <v>0</v>
      </c>
      <c r="I212" s="71">
        <v>0</v>
      </c>
      <c r="J212" s="71">
        <v>0</v>
      </c>
      <c r="K212" s="71">
        <v>0</v>
      </c>
      <c r="L212" s="71">
        <v>0</v>
      </c>
      <c r="M212" s="71">
        <v>0</v>
      </c>
      <c r="N212" s="71">
        <v>0</v>
      </c>
      <c r="O212" s="71">
        <v>0</v>
      </c>
      <c r="P212" s="71">
        <v>0</v>
      </c>
      <c r="Q212" s="71">
        <v>0</v>
      </c>
      <c r="R212" s="71">
        <v>0</v>
      </c>
      <c r="S212" s="71">
        <v>0</v>
      </c>
      <c r="T212" s="68">
        <f t="shared" si="28"/>
        <v>0</v>
      </c>
      <c r="U212" s="71">
        <v>110</v>
      </c>
      <c r="V212" s="33">
        <f t="shared" si="29"/>
        <v>0</v>
      </c>
      <c r="W212" s="69">
        <f t="shared" si="30"/>
        <v>0</v>
      </c>
      <c r="X212" s="69">
        <f t="shared" si="31"/>
        <v>487080</v>
      </c>
      <c r="Y212" s="70" t="s">
        <v>188</v>
      </c>
      <c r="Z212" s="72">
        <v>4428</v>
      </c>
      <c r="AA212" s="70" t="s">
        <v>155</v>
      </c>
      <c r="AB212" s="68">
        <f t="shared" si="32"/>
        <v>110</v>
      </c>
      <c r="AC212" s="73">
        <v>42971</v>
      </c>
      <c r="AD212" s="73">
        <v>43100</v>
      </c>
      <c r="AE212" s="70" t="s">
        <v>57</v>
      </c>
      <c r="AF212" s="71">
        <v>0</v>
      </c>
      <c r="AG212" s="71">
        <v>0</v>
      </c>
      <c r="AH212" s="32">
        <f t="shared" si="33"/>
        <v>0</v>
      </c>
      <c r="AI212" s="71">
        <v>110</v>
      </c>
      <c r="AJ212" s="33">
        <f t="shared" si="34"/>
        <v>0</v>
      </c>
      <c r="AK212" s="69">
        <f t="shared" si="35"/>
        <v>0</v>
      </c>
      <c r="AL212" s="69">
        <f t="shared" si="36"/>
        <v>487080</v>
      </c>
      <c r="AM212" s="70" t="s">
        <v>72</v>
      </c>
      <c r="AN212" s="70" t="s">
        <v>59</v>
      </c>
      <c r="AO212" s="70" t="s">
        <v>85</v>
      </c>
    </row>
    <row r="213" spans="1:41" x14ac:dyDescent="0.25">
      <c r="A213" s="70" t="s">
        <v>128</v>
      </c>
      <c r="B213" s="70">
        <v>2017</v>
      </c>
      <c r="C213" s="70" t="s">
        <v>71</v>
      </c>
      <c r="D213" s="70" t="s">
        <v>71</v>
      </c>
      <c r="E213" s="70" t="s">
        <v>71</v>
      </c>
      <c r="F213" s="70">
        <v>5653</v>
      </c>
      <c r="G213" s="70" t="s">
        <v>263</v>
      </c>
      <c r="H213" s="71">
        <v>14</v>
      </c>
      <c r="I213" s="71">
        <v>10</v>
      </c>
      <c r="J213" s="71">
        <v>14</v>
      </c>
      <c r="K213" s="71">
        <v>16</v>
      </c>
      <c r="L213" s="71">
        <v>10</v>
      </c>
      <c r="M213" s="71">
        <v>8</v>
      </c>
      <c r="N213" s="71">
        <v>11</v>
      </c>
      <c r="O213" s="71">
        <v>7</v>
      </c>
      <c r="P213" s="71">
        <v>20</v>
      </c>
      <c r="Q213" s="71">
        <v>21</v>
      </c>
      <c r="R213" s="71">
        <v>14</v>
      </c>
      <c r="S213" s="71">
        <v>15</v>
      </c>
      <c r="T213" s="68">
        <f t="shared" si="28"/>
        <v>160</v>
      </c>
      <c r="U213" s="71">
        <v>160</v>
      </c>
      <c r="V213" s="33">
        <f t="shared" si="29"/>
        <v>1</v>
      </c>
      <c r="W213" s="69">
        <f t="shared" si="30"/>
        <v>1231872</v>
      </c>
      <c r="X213" s="69">
        <f t="shared" si="31"/>
        <v>1231872</v>
      </c>
      <c r="Y213" s="70" t="s">
        <v>188</v>
      </c>
      <c r="Z213" s="72">
        <v>7699.2</v>
      </c>
      <c r="AA213" s="70" t="s">
        <v>129</v>
      </c>
      <c r="AB213" s="68">
        <f t="shared" si="32"/>
        <v>0</v>
      </c>
      <c r="AC213" s="73">
        <v>42503</v>
      </c>
      <c r="AD213" s="73">
        <v>43281</v>
      </c>
      <c r="AE213" s="70" t="s">
        <v>57</v>
      </c>
      <c r="AF213" s="71">
        <v>0</v>
      </c>
      <c r="AG213" s="71">
        <v>53</v>
      </c>
      <c r="AH213" s="32">
        <f t="shared" si="33"/>
        <v>213</v>
      </c>
      <c r="AI213" s="71">
        <v>213</v>
      </c>
      <c r="AJ213" s="33">
        <f t="shared" si="34"/>
        <v>1</v>
      </c>
      <c r="AK213" s="69">
        <f t="shared" si="35"/>
        <v>1639929.5999999999</v>
      </c>
      <c r="AL213" s="69">
        <f t="shared" si="36"/>
        <v>1639929.5999999999</v>
      </c>
      <c r="AM213" s="70" t="s">
        <v>72</v>
      </c>
      <c r="AN213" s="70" t="s">
        <v>59</v>
      </c>
      <c r="AO213" s="70" t="s">
        <v>85</v>
      </c>
    </row>
    <row r="214" spans="1:41" x14ac:dyDescent="0.25">
      <c r="A214" s="70" t="s">
        <v>126</v>
      </c>
      <c r="B214" s="70">
        <v>2017</v>
      </c>
      <c r="C214" s="70" t="s">
        <v>71</v>
      </c>
      <c r="D214" s="70" t="s">
        <v>71</v>
      </c>
      <c r="E214" s="70" t="s">
        <v>71</v>
      </c>
      <c r="F214" s="70">
        <v>5835</v>
      </c>
      <c r="G214" s="70" t="s">
        <v>189</v>
      </c>
      <c r="H214" s="71">
        <v>0</v>
      </c>
      <c r="I214" s="71">
        <v>0</v>
      </c>
      <c r="J214" s="71">
        <v>0</v>
      </c>
      <c r="K214" s="71">
        <v>0</v>
      </c>
      <c r="L214" s="71">
        <v>0</v>
      </c>
      <c r="M214" s="71">
        <v>0</v>
      </c>
      <c r="N214" s="71">
        <v>0</v>
      </c>
      <c r="O214" s="71">
        <v>0</v>
      </c>
      <c r="P214" s="71">
        <v>0</v>
      </c>
      <c r="Q214" s="71">
        <v>0</v>
      </c>
      <c r="R214" s="71">
        <v>0</v>
      </c>
      <c r="S214" s="71">
        <v>0</v>
      </c>
      <c r="T214" s="68">
        <f t="shared" si="28"/>
        <v>0</v>
      </c>
      <c r="U214" s="71">
        <v>360</v>
      </c>
      <c r="V214" s="33">
        <f t="shared" si="29"/>
        <v>0</v>
      </c>
      <c r="W214" s="69">
        <f t="shared" si="30"/>
        <v>0</v>
      </c>
      <c r="X214" s="69">
        <f t="shared" si="31"/>
        <v>839340</v>
      </c>
      <c r="Y214" s="70" t="s">
        <v>188</v>
      </c>
      <c r="Z214" s="72">
        <v>2331.5</v>
      </c>
      <c r="AA214" s="70" t="s">
        <v>127</v>
      </c>
      <c r="AB214" s="68">
        <f t="shared" si="32"/>
        <v>360</v>
      </c>
      <c r="AC214" s="73">
        <v>42685</v>
      </c>
      <c r="AD214" s="73">
        <v>43018</v>
      </c>
      <c r="AE214" s="70" t="s">
        <v>57</v>
      </c>
      <c r="AF214" s="71">
        <v>0</v>
      </c>
      <c r="AG214" s="71">
        <v>0</v>
      </c>
      <c r="AH214" s="32">
        <f t="shared" si="33"/>
        <v>0</v>
      </c>
      <c r="AI214" s="71">
        <v>360</v>
      </c>
      <c r="AJ214" s="33">
        <f t="shared" si="34"/>
        <v>0</v>
      </c>
      <c r="AK214" s="69">
        <f t="shared" si="35"/>
        <v>0</v>
      </c>
      <c r="AL214" s="69">
        <f t="shared" si="36"/>
        <v>839340</v>
      </c>
      <c r="AM214" s="70" t="s">
        <v>72</v>
      </c>
      <c r="AN214" s="70" t="s">
        <v>59</v>
      </c>
      <c r="AO214" s="70" t="s">
        <v>85</v>
      </c>
    </row>
    <row r="215" spans="1:41" x14ac:dyDescent="0.25">
      <c r="A215" s="70" t="s">
        <v>155</v>
      </c>
      <c r="B215" s="70">
        <v>2017</v>
      </c>
      <c r="C215" s="70" t="s">
        <v>71</v>
      </c>
      <c r="D215" s="70" t="s">
        <v>71</v>
      </c>
      <c r="E215" s="70" t="s">
        <v>71</v>
      </c>
      <c r="F215" s="70">
        <v>5835</v>
      </c>
      <c r="G215" s="70" t="s">
        <v>189</v>
      </c>
      <c r="H215" s="71">
        <v>0</v>
      </c>
      <c r="I215" s="71">
        <v>0</v>
      </c>
      <c r="J215" s="71">
        <v>0</v>
      </c>
      <c r="K215" s="71">
        <v>0</v>
      </c>
      <c r="L215" s="71">
        <v>0</v>
      </c>
      <c r="M215" s="71">
        <v>0</v>
      </c>
      <c r="N215" s="71">
        <v>0</v>
      </c>
      <c r="O215" s="71">
        <v>0</v>
      </c>
      <c r="P215" s="71">
        <v>0</v>
      </c>
      <c r="Q215" s="71">
        <v>0</v>
      </c>
      <c r="R215" s="71">
        <v>0</v>
      </c>
      <c r="S215" s="71">
        <v>0</v>
      </c>
      <c r="T215" s="68">
        <f t="shared" si="28"/>
        <v>0</v>
      </c>
      <c r="U215" s="71">
        <v>406</v>
      </c>
      <c r="V215" s="33">
        <f t="shared" si="29"/>
        <v>0</v>
      </c>
      <c r="W215" s="69">
        <f t="shared" si="30"/>
        <v>0</v>
      </c>
      <c r="X215" s="69">
        <f t="shared" si="31"/>
        <v>946589</v>
      </c>
      <c r="Y215" s="70" t="s">
        <v>188</v>
      </c>
      <c r="Z215" s="72">
        <v>2331.5</v>
      </c>
      <c r="AA215" s="70" t="s">
        <v>155</v>
      </c>
      <c r="AB215" s="68">
        <f t="shared" si="32"/>
        <v>406</v>
      </c>
      <c r="AC215" s="73">
        <v>42971</v>
      </c>
      <c r="AD215" s="73">
        <v>43100</v>
      </c>
      <c r="AE215" s="70" t="s">
        <v>57</v>
      </c>
      <c r="AF215" s="71">
        <v>0</v>
      </c>
      <c r="AG215" s="71">
        <v>0</v>
      </c>
      <c r="AH215" s="32">
        <f t="shared" si="33"/>
        <v>0</v>
      </c>
      <c r="AI215" s="71">
        <v>406</v>
      </c>
      <c r="AJ215" s="33">
        <f t="shared" si="34"/>
        <v>0</v>
      </c>
      <c r="AK215" s="69">
        <f t="shared" si="35"/>
        <v>0</v>
      </c>
      <c r="AL215" s="69">
        <f t="shared" si="36"/>
        <v>946589</v>
      </c>
      <c r="AM215" s="70" t="s">
        <v>72</v>
      </c>
      <c r="AN215" s="70" t="s">
        <v>59</v>
      </c>
      <c r="AO215" s="70" t="s">
        <v>85</v>
      </c>
    </row>
    <row r="216" spans="1:41" x14ac:dyDescent="0.25">
      <c r="A216" s="70" t="s">
        <v>126</v>
      </c>
      <c r="B216" s="70">
        <v>2017</v>
      </c>
      <c r="C216" s="70" t="s">
        <v>71</v>
      </c>
      <c r="D216" s="70" t="s">
        <v>71</v>
      </c>
      <c r="E216" s="70" t="s">
        <v>71</v>
      </c>
      <c r="F216" s="70">
        <v>6013</v>
      </c>
      <c r="G216" s="70" t="s">
        <v>200</v>
      </c>
      <c r="H216" s="71">
        <v>0</v>
      </c>
      <c r="I216" s="71">
        <v>0</v>
      </c>
      <c r="J216" s="71">
        <v>0</v>
      </c>
      <c r="K216" s="71">
        <v>0</v>
      </c>
      <c r="L216" s="71">
        <v>0</v>
      </c>
      <c r="M216" s="71">
        <v>0</v>
      </c>
      <c r="N216" s="71">
        <v>0</v>
      </c>
      <c r="O216" s="71">
        <v>0</v>
      </c>
      <c r="P216" s="71">
        <v>0</v>
      </c>
      <c r="Q216" s="71">
        <v>0</v>
      </c>
      <c r="R216" s="71">
        <v>0</v>
      </c>
      <c r="S216" s="71">
        <v>0</v>
      </c>
      <c r="T216" s="68">
        <f t="shared" si="28"/>
        <v>0</v>
      </c>
      <c r="U216" s="71">
        <v>165</v>
      </c>
      <c r="V216" s="33">
        <f t="shared" si="29"/>
        <v>0</v>
      </c>
      <c r="W216" s="69">
        <f t="shared" si="30"/>
        <v>0</v>
      </c>
      <c r="X216" s="69">
        <f t="shared" si="31"/>
        <v>1148202</v>
      </c>
      <c r="Y216" s="70" t="s">
        <v>188</v>
      </c>
      <c r="Z216" s="72">
        <v>6958.8</v>
      </c>
      <c r="AA216" s="70" t="s">
        <v>127</v>
      </c>
      <c r="AB216" s="68">
        <f t="shared" si="32"/>
        <v>165</v>
      </c>
      <c r="AC216" s="73">
        <v>42685</v>
      </c>
      <c r="AD216" s="73">
        <v>43018</v>
      </c>
      <c r="AE216" s="70" t="s">
        <v>57</v>
      </c>
      <c r="AF216" s="71">
        <v>0</v>
      </c>
      <c r="AG216" s="71">
        <v>0</v>
      </c>
      <c r="AH216" s="32">
        <f t="shared" si="33"/>
        <v>0</v>
      </c>
      <c r="AI216" s="71">
        <v>165</v>
      </c>
      <c r="AJ216" s="33">
        <f t="shared" si="34"/>
        <v>0</v>
      </c>
      <c r="AK216" s="69">
        <f t="shared" si="35"/>
        <v>0</v>
      </c>
      <c r="AL216" s="69">
        <f t="shared" si="36"/>
        <v>1148202</v>
      </c>
      <c r="AM216" s="70" t="s">
        <v>72</v>
      </c>
      <c r="AN216" s="70" t="s">
        <v>59</v>
      </c>
      <c r="AO216" s="70" t="s">
        <v>85</v>
      </c>
    </row>
    <row r="217" spans="1:41" x14ac:dyDescent="0.25">
      <c r="A217" s="70" t="s">
        <v>178</v>
      </c>
      <c r="B217" s="70">
        <v>2017</v>
      </c>
      <c r="C217" s="70" t="s">
        <v>71</v>
      </c>
      <c r="D217" s="70" t="s">
        <v>71</v>
      </c>
      <c r="E217" s="70" t="s">
        <v>71</v>
      </c>
      <c r="F217" s="70">
        <v>6013</v>
      </c>
      <c r="G217" s="70" t="s">
        <v>200</v>
      </c>
      <c r="H217" s="71">
        <v>0</v>
      </c>
      <c r="I217" s="71">
        <v>0</v>
      </c>
      <c r="J217" s="71">
        <v>0</v>
      </c>
      <c r="K217" s="71">
        <v>0</v>
      </c>
      <c r="L217" s="71">
        <v>0</v>
      </c>
      <c r="M217" s="71">
        <v>0</v>
      </c>
      <c r="N217" s="71">
        <v>0</v>
      </c>
      <c r="O217" s="71">
        <v>0</v>
      </c>
      <c r="P217" s="71">
        <v>0</v>
      </c>
      <c r="Q217" s="71">
        <v>0</v>
      </c>
      <c r="R217" s="71">
        <v>0</v>
      </c>
      <c r="S217" s="71">
        <v>0</v>
      </c>
      <c r="T217" s="68">
        <f t="shared" si="28"/>
        <v>0</v>
      </c>
      <c r="U217" s="71">
        <v>200</v>
      </c>
      <c r="V217" s="33">
        <f t="shared" si="29"/>
        <v>0</v>
      </c>
      <c r="W217" s="69">
        <f t="shared" si="30"/>
        <v>0</v>
      </c>
      <c r="X217" s="69">
        <f t="shared" si="31"/>
        <v>1335600</v>
      </c>
      <c r="Y217" s="70" t="s">
        <v>188</v>
      </c>
      <c r="Z217" s="72">
        <v>6678</v>
      </c>
      <c r="AA217" s="70" t="s">
        <v>178</v>
      </c>
      <c r="AB217" s="68">
        <f t="shared" si="32"/>
        <v>200</v>
      </c>
      <c r="AC217" s="73">
        <v>42986</v>
      </c>
      <c r="AD217" s="73">
        <v>43100</v>
      </c>
      <c r="AE217" s="70" t="s">
        <v>57</v>
      </c>
      <c r="AF217" s="71">
        <v>0</v>
      </c>
      <c r="AG217" s="71">
        <v>0</v>
      </c>
      <c r="AH217" s="32">
        <f t="shared" si="33"/>
        <v>0</v>
      </c>
      <c r="AI217" s="71">
        <v>200</v>
      </c>
      <c r="AJ217" s="33">
        <f t="shared" si="34"/>
        <v>0</v>
      </c>
      <c r="AK217" s="69">
        <f t="shared" si="35"/>
        <v>0</v>
      </c>
      <c r="AL217" s="69">
        <f t="shared" si="36"/>
        <v>1335600</v>
      </c>
      <c r="AM217" s="70" t="s">
        <v>72</v>
      </c>
      <c r="AN217" s="70" t="s">
        <v>59</v>
      </c>
      <c r="AO217" s="70" t="s">
        <v>85</v>
      </c>
    </row>
    <row r="218" spans="1:41" x14ac:dyDescent="0.25">
      <c r="A218" s="70" t="s">
        <v>128</v>
      </c>
      <c r="B218" s="70">
        <v>2017</v>
      </c>
      <c r="C218" s="70" t="s">
        <v>71</v>
      </c>
      <c r="D218" s="70" t="s">
        <v>71</v>
      </c>
      <c r="E218" s="70" t="s">
        <v>71</v>
      </c>
      <c r="F218" s="70">
        <v>6086</v>
      </c>
      <c r="G218" s="70" t="s">
        <v>214</v>
      </c>
      <c r="H218" s="71">
        <v>9</v>
      </c>
      <c r="I218" s="71">
        <v>14</v>
      </c>
      <c r="J218" s="71">
        <v>3</v>
      </c>
      <c r="K218" s="71">
        <v>4</v>
      </c>
      <c r="L218" s="71">
        <v>14</v>
      </c>
      <c r="M218" s="71">
        <v>17</v>
      </c>
      <c r="N218" s="71">
        <v>17</v>
      </c>
      <c r="O218" s="71">
        <v>14</v>
      </c>
      <c r="P218" s="71">
        <v>38</v>
      </c>
      <c r="Q218" s="71">
        <v>22</v>
      </c>
      <c r="R218" s="71">
        <v>6</v>
      </c>
      <c r="S218" s="71">
        <v>8</v>
      </c>
      <c r="T218" s="68">
        <f t="shared" si="28"/>
        <v>166</v>
      </c>
      <c r="U218" s="71">
        <v>166</v>
      </c>
      <c r="V218" s="33">
        <f t="shared" si="29"/>
        <v>1</v>
      </c>
      <c r="W218" s="69">
        <f t="shared" si="30"/>
        <v>3043538.62</v>
      </c>
      <c r="X218" s="69">
        <f t="shared" si="31"/>
        <v>3043538.62</v>
      </c>
      <c r="Y218" s="70" t="s">
        <v>188</v>
      </c>
      <c r="Z218" s="72">
        <v>18334.57</v>
      </c>
      <c r="AA218" s="70" t="s">
        <v>129</v>
      </c>
      <c r="AB218" s="68">
        <f t="shared" si="32"/>
        <v>0</v>
      </c>
      <c r="AC218" s="73">
        <v>42503</v>
      </c>
      <c r="AD218" s="73">
        <v>43281</v>
      </c>
      <c r="AE218" s="70" t="s">
        <v>57</v>
      </c>
      <c r="AF218" s="71">
        <v>0</v>
      </c>
      <c r="AG218" s="71">
        <v>48</v>
      </c>
      <c r="AH218" s="32">
        <f t="shared" si="33"/>
        <v>214</v>
      </c>
      <c r="AI218" s="71">
        <v>214</v>
      </c>
      <c r="AJ218" s="33">
        <f t="shared" si="34"/>
        <v>1</v>
      </c>
      <c r="AK218" s="69">
        <f t="shared" si="35"/>
        <v>3923597.98</v>
      </c>
      <c r="AL218" s="69">
        <f t="shared" si="36"/>
        <v>3923597.98</v>
      </c>
      <c r="AM218" s="70" t="s">
        <v>72</v>
      </c>
      <c r="AN218" s="70" t="s">
        <v>59</v>
      </c>
      <c r="AO218" s="70" t="s">
        <v>85</v>
      </c>
    </row>
    <row r="219" spans="1:41" x14ac:dyDescent="0.25">
      <c r="A219" s="70">
        <v>53344</v>
      </c>
      <c r="B219" s="70">
        <v>2017</v>
      </c>
      <c r="C219" s="70" t="s">
        <v>71</v>
      </c>
      <c r="D219" s="70" t="s">
        <v>71</v>
      </c>
      <c r="E219" s="70" t="s">
        <v>71</v>
      </c>
      <c r="F219" s="70">
        <v>6089</v>
      </c>
      <c r="G219" s="70" t="s">
        <v>220</v>
      </c>
      <c r="H219" s="71">
        <v>0</v>
      </c>
      <c r="I219" s="71">
        <v>0</v>
      </c>
      <c r="J219" s="71">
        <v>0</v>
      </c>
      <c r="K219" s="71">
        <v>0</v>
      </c>
      <c r="L219" s="71">
        <v>0</v>
      </c>
      <c r="M219" s="71">
        <v>0</v>
      </c>
      <c r="N219" s="71">
        <v>8</v>
      </c>
      <c r="O219" s="71">
        <v>0</v>
      </c>
      <c r="P219" s="71">
        <v>0</v>
      </c>
      <c r="Q219" s="71">
        <v>0</v>
      </c>
      <c r="R219" s="71">
        <v>0</v>
      </c>
      <c r="S219" s="71">
        <v>0</v>
      </c>
      <c r="T219" s="68">
        <f t="shared" si="28"/>
        <v>8</v>
      </c>
      <c r="U219" s="71">
        <v>8</v>
      </c>
      <c r="V219" s="33">
        <f t="shared" si="29"/>
        <v>1</v>
      </c>
      <c r="W219" s="69">
        <f t="shared" si="30"/>
        <v>37872</v>
      </c>
      <c r="X219" s="69">
        <f t="shared" si="31"/>
        <v>37872</v>
      </c>
      <c r="Y219" s="70" t="s">
        <v>188</v>
      </c>
      <c r="Z219" s="72">
        <v>4734</v>
      </c>
      <c r="AA219" s="70" t="s">
        <v>177</v>
      </c>
      <c r="AB219" s="68">
        <f t="shared" si="32"/>
        <v>0</v>
      </c>
      <c r="AC219" s="73">
        <v>42901</v>
      </c>
      <c r="AD219" s="73">
        <v>42946</v>
      </c>
      <c r="AE219" s="70" t="s">
        <v>57</v>
      </c>
      <c r="AF219" s="71">
        <v>0</v>
      </c>
      <c r="AG219" s="71">
        <v>0</v>
      </c>
      <c r="AH219" s="32">
        <f t="shared" si="33"/>
        <v>8</v>
      </c>
      <c r="AI219" s="71">
        <v>8</v>
      </c>
      <c r="AJ219" s="33">
        <f t="shared" si="34"/>
        <v>1</v>
      </c>
      <c r="AK219" s="69">
        <f t="shared" si="35"/>
        <v>37872</v>
      </c>
      <c r="AL219" s="69">
        <f t="shared" si="36"/>
        <v>37872</v>
      </c>
      <c r="AM219" s="70" t="s">
        <v>72</v>
      </c>
      <c r="AN219" s="70" t="s">
        <v>82</v>
      </c>
      <c r="AO219" s="70" t="s">
        <v>85</v>
      </c>
    </row>
    <row r="220" spans="1:41" x14ac:dyDescent="0.25">
      <c r="A220" s="70" t="s">
        <v>288</v>
      </c>
      <c r="B220" s="70">
        <v>2017</v>
      </c>
      <c r="C220" s="70" t="s">
        <v>71</v>
      </c>
      <c r="D220" s="70" t="s">
        <v>71</v>
      </c>
      <c r="E220" s="70" t="s">
        <v>71</v>
      </c>
      <c r="F220" s="70">
        <v>6089</v>
      </c>
      <c r="G220" s="70" t="s">
        <v>244</v>
      </c>
      <c r="H220" s="71">
        <v>0</v>
      </c>
      <c r="I220" s="71">
        <v>0</v>
      </c>
      <c r="J220" s="71">
        <v>0</v>
      </c>
      <c r="K220" s="71">
        <v>0</v>
      </c>
      <c r="L220" s="71">
        <v>0</v>
      </c>
      <c r="M220" s="71">
        <v>0</v>
      </c>
      <c r="N220" s="71">
        <v>0</v>
      </c>
      <c r="O220" s="71">
        <v>0</v>
      </c>
      <c r="P220" s="71">
        <v>0</v>
      </c>
      <c r="Q220" s="71">
        <v>0</v>
      </c>
      <c r="R220" s="71">
        <v>8</v>
      </c>
      <c r="S220" s="71">
        <v>0</v>
      </c>
      <c r="T220" s="68">
        <f t="shared" si="28"/>
        <v>8</v>
      </c>
      <c r="U220" s="71">
        <v>8</v>
      </c>
      <c r="V220" s="33">
        <f t="shared" si="29"/>
        <v>1</v>
      </c>
      <c r="W220" s="69">
        <f t="shared" si="30"/>
        <v>37872</v>
      </c>
      <c r="X220" s="69">
        <f t="shared" si="31"/>
        <v>37872</v>
      </c>
      <c r="Y220" s="70" t="s">
        <v>188</v>
      </c>
      <c r="Z220" s="72">
        <v>4734</v>
      </c>
      <c r="AA220" s="70" t="s">
        <v>288</v>
      </c>
      <c r="AB220" s="68">
        <f t="shared" si="32"/>
        <v>0</v>
      </c>
      <c r="AC220" s="73">
        <v>43014</v>
      </c>
      <c r="AD220" s="73">
        <v>43078</v>
      </c>
      <c r="AE220" s="70" t="s">
        <v>57</v>
      </c>
      <c r="AF220" s="71">
        <v>0</v>
      </c>
      <c r="AG220" s="71">
        <v>0</v>
      </c>
      <c r="AH220" s="32">
        <f t="shared" si="33"/>
        <v>8</v>
      </c>
      <c r="AI220" s="71">
        <v>8</v>
      </c>
      <c r="AJ220" s="33">
        <f t="shared" si="34"/>
        <v>1</v>
      </c>
      <c r="AK220" s="69">
        <f t="shared" si="35"/>
        <v>37872</v>
      </c>
      <c r="AL220" s="69">
        <f t="shared" si="36"/>
        <v>37872</v>
      </c>
      <c r="AM220" s="70" t="s">
        <v>72</v>
      </c>
      <c r="AN220" s="70" t="s">
        <v>82</v>
      </c>
      <c r="AO220" s="70" t="s">
        <v>85</v>
      </c>
    </row>
    <row r="221" spans="1:41" x14ac:dyDescent="0.25">
      <c r="A221" s="70" t="s">
        <v>287</v>
      </c>
      <c r="B221" s="70">
        <v>2017</v>
      </c>
      <c r="C221" s="70" t="s">
        <v>71</v>
      </c>
      <c r="D221" s="70" t="s">
        <v>71</v>
      </c>
      <c r="E221" s="70" t="s">
        <v>71</v>
      </c>
      <c r="F221" s="70">
        <v>6089</v>
      </c>
      <c r="G221" s="70" t="s">
        <v>244</v>
      </c>
      <c r="H221" s="71">
        <v>0</v>
      </c>
      <c r="I221" s="71">
        <v>0</v>
      </c>
      <c r="J221" s="71">
        <v>0</v>
      </c>
      <c r="K221" s="71">
        <v>0</v>
      </c>
      <c r="L221" s="71">
        <v>0</v>
      </c>
      <c r="M221" s="71">
        <v>0</v>
      </c>
      <c r="N221" s="71">
        <v>0</v>
      </c>
      <c r="O221" s="71">
        <v>0</v>
      </c>
      <c r="P221" s="71">
        <v>0</v>
      </c>
      <c r="Q221" s="71">
        <v>0</v>
      </c>
      <c r="R221" s="71">
        <v>8</v>
      </c>
      <c r="S221" s="71">
        <v>0</v>
      </c>
      <c r="T221" s="68">
        <f t="shared" si="28"/>
        <v>8</v>
      </c>
      <c r="U221" s="71">
        <v>8</v>
      </c>
      <c r="V221" s="33">
        <f t="shared" si="29"/>
        <v>1</v>
      </c>
      <c r="W221" s="69">
        <f t="shared" si="30"/>
        <v>37872</v>
      </c>
      <c r="X221" s="69">
        <f t="shared" si="31"/>
        <v>37872</v>
      </c>
      <c r="Y221" s="70" t="s">
        <v>188</v>
      </c>
      <c r="Z221" s="72">
        <v>4734</v>
      </c>
      <c r="AA221" s="70" t="s">
        <v>287</v>
      </c>
      <c r="AB221" s="68">
        <f t="shared" si="32"/>
        <v>0</v>
      </c>
      <c r="AC221" s="73">
        <v>43014</v>
      </c>
      <c r="AD221" s="73">
        <v>43069</v>
      </c>
      <c r="AE221" s="70" t="s">
        <v>57</v>
      </c>
      <c r="AF221" s="71">
        <v>0</v>
      </c>
      <c r="AG221" s="71">
        <v>0</v>
      </c>
      <c r="AH221" s="32">
        <f t="shared" si="33"/>
        <v>8</v>
      </c>
      <c r="AI221" s="71">
        <v>8</v>
      </c>
      <c r="AJ221" s="33">
        <f t="shared" si="34"/>
        <v>1</v>
      </c>
      <c r="AK221" s="69">
        <f t="shared" si="35"/>
        <v>37872</v>
      </c>
      <c r="AL221" s="69">
        <f t="shared" si="36"/>
        <v>37872</v>
      </c>
      <c r="AM221" s="70" t="s">
        <v>72</v>
      </c>
      <c r="AN221" s="70" t="s">
        <v>82</v>
      </c>
      <c r="AO221" s="70" t="s">
        <v>85</v>
      </c>
    </row>
    <row r="222" spans="1:41" x14ac:dyDescent="0.25">
      <c r="A222" s="70">
        <v>52642</v>
      </c>
      <c r="B222" s="70">
        <v>2017</v>
      </c>
      <c r="C222" s="70" t="s">
        <v>71</v>
      </c>
      <c r="D222" s="70" t="s">
        <v>71</v>
      </c>
      <c r="E222" s="70" t="s">
        <v>71</v>
      </c>
      <c r="F222" s="70">
        <v>6096</v>
      </c>
      <c r="G222" s="70" t="s">
        <v>289</v>
      </c>
      <c r="H222" s="71">
        <v>0</v>
      </c>
      <c r="I222" s="71">
        <v>0</v>
      </c>
      <c r="J222" s="71">
        <v>0</v>
      </c>
      <c r="K222" s="71">
        <v>14</v>
      </c>
      <c r="L222" s="71">
        <v>14</v>
      </c>
      <c r="M222" s="71">
        <v>0</v>
      </c>
      <c r="N222" s="71">
        <v>0</v>
      </c>
      <c r="O222" s="71">
        <v>0</v>
      </c>
      <c r="P222" s="71">
        <v>0</v>
      </c>
      <c r="Q222" s="71">
        <v>0</v>
      </c>
      <c r="R222" s="71">
        <v>0</v>
      </c>
      <c r="S222" s="71">
        <v>0</v>
      </c>
      <c r="T222" s="68">
        <f t="shared" si="28"/>
        <v>28</v>
      </c>
      <c r="U222" s="71">
        <v>28</v>
      </c>
      <c r="V222" s="33">
        <f t="shared" si="29"/>
        <v>1</v>
      </c>
      <c r="W222" s="69">
        <f t="shared" si="30"/>
        <v>851256.27999999991</v>
      </c>
      <c r="X222" s="69">
        <f t="shared" si="31"/>
        <v>851256.27999999991</v>
      </c>
      <c r="Y222" s="70" t="s">
        <v>188</v>
      </c>
      <c r="Z222" s="72">
        <v>30402.01</v>
      </c>
      <c r="AA222" s="70" t="s">
        <v>290</v>
      </c>
      <c r="AB222" s="68">
        <f t="shared" si="32"/>
        <v>0</v>
      </c>
      <c r="AC222" s="73">
        <v>42830</v>
      </c>
      <c r="AD222" s="73">
        <v>42886</v>
      </c>
      <c r="AE222" s="70" t="s">
        <v>57</v>
      </c>
      <c r="AF222" s="71">
        <v>0</v>
      </c>
      <c r="AG222" s="71">
        <v>0</v>
      </c>
      <c r="AH222" s="32">
        <f t="shared" si="33"/>
        <v>28</v>
      </c>
      <c r="AI222" s="71">
        <v>28</v>
      </c>
      <c r="AJ222" s="33">
        <f t="shared" si="34"/>
        <v>1</v>
      </c>
      <c r="AK222" s="69">
        <f t="shared" si="35"/>
        <v>851256.27999999991</v>
      </c>
      <c r="AL222" s="69">
        <f t="shared" si="36"/>
        <v>851256.27999999991</v>
      </c>
      <c r="AM222" s="70" t="s">
        <v>72</v>
      </c>
      <c r="AN222" s="70" t="s">
        <v>82</v>
      </c>
      <c r="AO222" s="70" t="s">
        <v>85</v>
      </c>
    </row>
    <row r="223" spans="1:41" x14ac:dyDescent="0.25">
      <c r="A223" s="70" t="s">
        <v>126</v>
      </c>
      <c r="B223" s="70">
        <v>2017</v>
      </c>
      <c r="C223" s="70" t="s">
        <v>71</v>
      </c>
      <c r="D223" s="70" t="s">
        <v>71</v>
      </c>
      <c r="E223" s="70" t="s">
        <v>115</v>
      </c>
      <c r="F223" s="70">
        <v>5613</v>
      </c>
      <c r="G223" s="70" t="s">
        <v>194</v>
      </c>
      <c r="H223" s="71">
        <v>200</v>
      </c>
      <c r="I223" s="71">
        <v>0</v>
      </c>
      <c r="J223" s="71">
        <v>0</v>
      </c>
      <c r="K223" s="71">
        <v>200</v>
      </c>
      <c r="L223" s="71">
        <v>0</v>
      </c>
      <c r="M223" s="71">
        <v>0</v>
      </c>
      <c r="N223" s="71">
        <v>0</v>
      </c>
      <c r="O223" s="71">
        <v>0</v>
      </c>
      <c r="P223" s="71">
        <v>0</v>
      </c>
      <c r="Q223" s="71">
        <v>0</v>
      </c>
      <c r="R223" s="71">
        <v>0</v>
      </c>
      <c r="S223" s="71">
        <v>0</v>
      </c>
      <c r="T223" s="68">
        <f t="shared" si="28"/>
        <v>400</v>
      </c>
      <c r="U223" s="71">
        <v>0</v>
      </c>
      <c r="V223" s="33">
        <f t="shared" si="29"/>
        <v>0</v>
      </c>
      <c r="W223" s="69">
        <f t="shared" si="30"/>
        <v>1462240</v>
      </c>
      <c r="X223" s="69">
        <f t="shared" si="31"/>
        <v>0</v>
      </c>
      <c r="Y223" s="70" t="s">
        <v>188</v>
      </c>
      <c r="Z223" s="72">
        <v>3655.6</v>
      </c>
      <c r="AA223" s="70" t="s">
        <v>127</v>
      </c>
      <c r="AB223" s="68">
        <f t="shared" si="32"/>
        <v>-400</v>
      </c>
      <c r="AC223" s="73">
        <v>42685</v>
      </c>
      <c r="AD223" s="73">
        <v>43018</v>
      </c>
      <c r="AE223" s="70" t="s">
        <v>57</v>
      </c>
      <c r="AF223" s="71">
        <v>0</v>
      </c>
      <c r="AG223" s="71">
        <v>0</v>
      </c>
      <c r="AH223" s="32">
        <f t="shared" si="33"/>
        <v>400</v>
      </c>
      <c r="AI223" s="71">
        <v>0</v>
      </c>
      <c r="AJ223" s="33">
        <f t="shared" si="34"/>
        <v>0</v>
      </c>
      <c r="AK223" s="69">
        <f t="shared" si="35"/>
        <v>1462240</v>
      </c>
      <c r="AL223" s="69">
        <f t="shared" si="36"/>
        <v>0</v>
      </c>
      <c r="AM223" s="70" t="s">
        <v>72</v>
      </c>
      <c r="AN223" s="70" t="s">
        <v>59</v>
      </c>
      <c r="AO223" s="70" t="s">
        <v>85</v>
      </c>
    </row>
    <row r="224" spans="1:41" x14ac:dyDescent="0.25">
      <c r="A224" s="70" t="s">
        <v>178</v>
      </c>
      <c r="B224" s="70">
        <v>2017</v>
      </c>
      <c r="C224" s="70" t="s">
        <v>71</v>
      </c>
      <c r="D224" s="70" t="s">
        <v>71</v>
      </c>
      <c r="E224" s="70" t="s">
        <v>115</v>
      </c>
      <c r="F224" s="70">
        <v>5613</v>
      </c>
      <c r="G224" s="70" t="s">
        <v>194</v>
      </c>
      <c r="H224" s="71">
        <v>0</v>
      </c>
      <c r="I224" s="71">
        <v>0</v>
      </c>
      <c r="J224" s="71">
        <v>0</v>
      </c>
      <c r="K224" s="71">
        <v>0</v>
      </c>
      <c r="L224" s="71">
        <v>0</v>
      </c>
      <c r="M224" s="71">
        <v>0</v>
      </c>
      <c r="N224" s="71">
        <v>0</v>
      </c>
      <c r="O224" s="71">
        <v>0</v>
      </c>
      <c r="P224" s="71">
        <v>1000</v>
      </c>
      <c r="Q224" s="71">
        <v>0</v>
      </c>
      <c r="R224" s="71">
        <v>0</v>
      </c>
      <c r="S224" s="71">
        <v>0</v>
      </c>
      <c r="T224" s="68">
        <f t="shared" si="28"/>
        <v>1000</v>
      </c>
      <c r="U224" s="71">
        <v>0</v>
      </c>
      <c r="V224" s="33">
        <f t="shared" si="29"/>
        <v>0</v>
      </c>
      <c r="W224" s="69">
        <f t="shared" si="30"/>
        <v>3655600</v>
      </c>
      <c r="X224" s="69">
        <f t="shared" si="31"/>
        <v>0</v>
      </c>
      <c r="Y224" s="70" t="s">
        <v>188</v>
      </c>
      <c r="Z224" s="72">
        <v>3655.6</v>
      </c>
      <c r="AA224" s="70" t="s">
        <v>178</v>
      </c>
      <c r="AB224" s="68">
        <f t="shared" si="32"/>
        <v>-1000</v>
      </c>
      <c r="AC224" s="73">
        <v>42986</v>
      </c>
      <c r="AD224" s="73">
        <v>43100</v>
      </c>
      <c r="AE224" s="70" t="s">
        <v>57</v>
      </c>
      <c r="AF224" s="71">
        <v>0</v>
      </c>
      <c r="AG224" s="71">
        <v>0</v>
      </c>
      <c r="AH224" s="32">
        <f t="shared" si="33"/>
        <v>1000</v>
      </c>
      <c r="AI224" s="71">
        <v>0</v>
      </c>
      <c r="AJ224" s="33">
        <f t="shared" si="34"/>
        <v>0</v>
      </c>
      <c r="AK224" s="69">
        <f t="shared" si="35"/>
        <v>3655600</v>
      </c>
      <c r="AL224" s="69">
        <f t="shared" si="36"/>
        <v>0</v>
      </c>
      <c r="AM224" s="70" t="s">
        <v>72</v>
      </c>
      <c r="AN224" s="70" t="s">
        <v>59</v>
      </c>
      <c r="AO224" s="70" t="s">
        <v>85</v>
      </c>
    </row>
  </sheetData>
  <autoFilter ref="A2:AO6">
    <sortState ref="A3:AO852">
      <sortCondition ref="Y2:Y6"/>
    </sortState>
  </autoFilter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82ad3a63-90ad-4a46-a3cb-757f4658e205" origin="userSelected">
  <element uid="9036a7a1-5a4f-48d3-b24b-dfdab053dac9" value=""/>
  <element uid="4be5f866-0f4a-4261-80d5-eceb4feb516e" value=""/>
  <element uid="7349a702-6462-4442-88eb-c64cd513835c" value=""/>
</sisl>
</file>

<file path=customXml/itemProps1.xml><?xml version="1.0" encoding="utf-8"?>
<ds:datastoreItem xmlns:ds="http://schemas.openxmlformats.org/officeDocument/2006/customXml" ds:itemID="{DD9AAA73-D505-45AD-BEB2-8622E3B33571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Tabla</vt:lpstr>
      <vt:lpstr>Base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Lopez Perez</dc:creator>
  <cp:keywords>*$%IU-*$%ProdMarketing</cp:keywords>
  <cp:lastModifiedBy>Chapa Salgado, Alejandro</cp:lastModifiedBy>
  <dcterms:created xsi:type="dcterms:W3CDTF">2010-02-03T16:25:45Z</dcterms:created>
  <dcterms:modified xsi:type="dcterms:W3CDTF">2018-01-11T18:18:48Z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e4c485fb-9211-4e66-96be-fe9c01947b41</vt:lpwstr>
  </property>
  <property fmtid="{D5CDD505-2E9C-101B-9397-08002B2CF9AE}" pid="3" name="bjSaver">
    <vt:lpwstr>rJMVJkQzuQ00afoqfntibg/c/Qb7eCnf</vt:lpwstr>
  </property>
  <property fmtid="{D5CDD505-2E9C-101B-9397-08002B2CF9AE}" pid="4" name="bjDocumentLabelXML">
    <vt:lpwstr>&lt;?xml version="1.0" encoding="us-ascii"?&gt;&lt;sisl xmlns:xsi="http://www.w3.org/2001/XMLSchema-instance" xmlns:xsd="http://www.w3.org/2001/XMLSchema" sislVersion="0" policy="82ad3a63-90ad-4a46-a3cb-757f4658e205" origin="userSelected" xmlns="http://www.boldonj</vt:lpwstr>
  </property>
  <property fmtid="{D5CDD505-2E9C-101B-9397-08002B2CF9AE}" pid="5" name="bjDocumentLabelXML-0">
    <vt:lpwstr>ames.com/2008/01/sie/internal/label"&gt;&lt;element uid="9036a7a1-5a4f-48d3-b24b-dfdab053dac9" value="" /&gt;&lt;element uid="4be5f866-0f4a-4261-80d5-eceb4feb516e" value="" /&gt;&lt;element uid="7349a702-6462-4442-88eb-c64cd513835c" value="" /&gt;&lt;/sisl&gt;</vt:lpwstr>
  </property>
  <property fmtid="{D5CDD505-2E9C-101B-9397-08002B2CF9AE}" pid="6" name="bjDocumentSecurityLabel">
    <vt:lpwstr>Internal Use Only - Product Marketing &amp; Sales</vt:lpwstr>
  </property>
</Properties>
</file>